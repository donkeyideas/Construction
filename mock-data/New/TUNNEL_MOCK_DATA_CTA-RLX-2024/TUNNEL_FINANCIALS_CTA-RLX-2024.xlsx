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Overview &amp; WIP" sheetId="1" state="visible" r:id="rId3"/>
    <sheet name="P&amp;L Statement" sheetId="2" state="visible" r:id="rId4"/>
    <sheet name="Billing &amp; Cash Flow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<sst xmlns="http://schemas.openxmlformats.org/spreadsheetml/2006/main" count="155" uniqueCount="149">
  <si>
    <t xml:space="preserve">PINNACLE BUILDS LLC — CTA Red Line Extension Utility Relocation Tunnel</t>
  </si>
  <si>
    <t xml:space="preserve">CTA-RLX-2024  |  S. Michigan Ave  103rd–130th St, Chicago IL  |  Active — 34% Complete  |  As of January 31, 2026</t>
  </si>
  <si>
    <t xml:space="preserve">PROJECT SNAPSHOT</t>
  </si>
  <si>
    <t xml:space="preserve">Project Type</t>
  </si>
  <si>
    <t xml:space="preserve">Heavy Civil / Underground Tunnel</t>
  </si>
  <si>
    <t xml:space="preserve">Contract Type</t>
  </si>
  <si>
    <t xml:space="preserve">CM at Risk (GMP)</t>
  </si>
  <si>
    <t xml:space="preserve">Client</t>
  </si>
  <si>
    <t xml:space="preserve">Chicago Transit Authority</t>
  </si>
  <si>
    <t xml:space="preserve">Funding</t>
  </si>
  <si>
    <t xml:space="preserve">FTA Full Funding Grant Agreement + Illinois BUILD Grant</t>
  </si>
  <si>
    <t xml:space="preserve">Location</t>
  </si>
  <si>
    <t xml:space="preserve">103rd–130th St under S. Michigan Ave, Chicago IL</t>
  </si>
  <si>
    <t xml:space="preserve">DBE Goal</t>
  </si>
  <si>
    <t xml:space="preserve">25% — FTA Required</t>
  </si>
  <si>
    <t xml:space="preserve">TBM Type</t>
  </si>
  <si>
    <t xml:space="preserve">Earth Pressure Balance (EPB) Herrenknecht S-1124</t>
  </si>
  <si>
    <t xml:space="preserve">TBM Name</t>
  </si>
  <si>
    <t xml:space="preserve">Mary - after Mary Breckinridge</t>
  </si>
  <si>
    <t xml:space="preserve">Tunnel Geometry</t>
  </si>
  <si>
    <t xml:space="preserve">21-ft ID finished bore, dual barrel</t>
  </si>
  <si>
    <t xml:space="preserve">Tunnel Length</t>
  </si>
  <si>
    <t xml:space="preserve">2.1 miles (22,176 LF per bore)</t>
  </si>
  <si>
    <t xml:space="preserve">Depth Range</t>
  </si>
  <si>
    <t xml:space="preserve">45–65 feet BGS (below grade surface)</t>
  </si>
  <si>
    <t xml:space="preserve">Ground Conditions</t>
  </si>
  <si>
    <t xml:space="preserve">Chicago Blue Clay / Dolomite interface</t>
  </si>
  <si>
    <t xml:space="preserve">TBM Progress</t>
  </si>
  <si>
    <t xml:space="preserve">4,284 LF bored = 1,020 rings installed</t>
  </si>
  <si>
    <t xml:space="preserve">Rings Target</t>
  </si>
  <si>
    <t xml:space="preserve">3,100 total rings (32.9% rings complete)</t>
  </si>
  <si>
    <t xml:space="preserve">Station Caverns</t>
  </si>
  <si>
    <t xml:space="preserve">3 underground stations: 111th, 119th, 130th St</t>
  </si>
  <si>
    <t xml:space="preserve">Cross Passages</t>
  </si>
  <si>
    <t xml:space="preserve">8 required per NFPA 130 (2 of 8 complete)</t>
  </si>
  <si>
    <t xml:space="preserve">Union Labor</t>
  </si>
  <si>
    <t xml:space="preserve">Laborers Local 2, OE Local 150, IW Local 1, IBEW Local 134</t>
  </si>
  <si>
    <t xml:space="preserve">IEPA Requirement</t>
  </si>
  <si>
    <t xml:space="preserve">Groundwater monitoring — 28 instruments</t>
  </si>
  <si>
    <t xml:space="preserve">CONTRACT SUMMARY</t>
  </si>
  <si>
    <t xml:space="preserve">Original GMP Contract Value</t>
  </si>
  <si>
    <t xml:space="preserve">Approved Change Orders (CO-001 thru CO-004)</t>
  </si>
  <si>
    <t xml:space="preserve">Revised Contract Value</t>
  </si>
  <si>
    <t xml:space="preserve">Estimated Cost at Completion</t>
  </si>
  <si>
    <t xml:space="preserve">Estimated Gross Profit (Project)</t>
  </si>
  <si>
    <t xml:space="preserve">Estimated Gross Margin</t>
  </si>
  <si>
    <t xml:space="preserve">WORK-IN-PROGRESS (WIP) SCHEDULE</t>
  </si>
  <si>
    <t xml:space="preserve">Cost Category / Trade Package</t>
  </si>
  <si>
    <t xml:space="preserve">Budget / Subcontract</t>
  </si>
  <si>
    <t xml:space="preserve">% Complete</t>
  </si>
  <si>
    <t xml:space="preserve">Revenue Earned</t>
  </si>
  <si>
    <t xml:space="preserve">Billed to Date</t>
  </si>
  <si>
    <t xml:space="preserve">BIE / (CIE)</t>
  </si>
  <si>
    <t xml:space="preserve">TBM Drive — South Bore (EPB Self-Perform)</t>
  </si>
  <si>
    <t xml:space="preserve">Segmental Lining — Supply &amp; Install</t>
  </si>
  <si>
    <t xml:space="preserve">Annular &amp; Contact Grouting</t>
  </si>
  <si>
    <t xml:space="preserve">Dewatering — Deep Wells (monthly cost)</t>
  </si>
  <si>
    <t xml:space="preserve">Station Cavern — 111th St (NATM Shotcrete)</t>
  </si>
  <si>
    <t xml:space="preserve">Station Cavern — 119th St (NATM Shotcrete)</t>
  </si>
  <si>
    <t xml:space="preserve">Station Cavern — 130th St (Not started)</t>
  </si>
  <si>
    <t xml:space="preserve">Cross Passages — 8 Total (2 complete)</t>
  </si>
  <si>
    <t xml:space="preserve">Tunnel Electrical — Temp Power + Permanent</t>
  </si>
  <si>
    <t xml:space="preserve">Structural Steel — Station Caverns</t>
  </si>
  <si>
    <t xml:space="preserve">Utility Relocation — ComEd, NICOR, CDOT Water</t>
  </si>
  <si>
    <t xml:space="preserve">TBM OEM Service &amp; Parts (Herrenknecht)</t>
  </si>
  <si>
    <t xml:space="preserve">General Conditions + COs 001-004</t>
  </si>
  <si>
    <t xml:space="preserve">TOTAL — ALL PACKAGES</t>
  </si>
  <si>
    <t xml:space="preserve">CTA-RLX-2024 — P&amp;L Statement  |  Percentage-of-Completion (ASC 606)</t>
  </si>
  <si>
    <t xml:space="preserve">Account</t>
  </si>
  <si>
    <t xml:space="preserve">YTD Jan 2026</t>
  </si>
  <si>
    <t xml:space="preserve">Project-to-Date</t>
  </si>
  <si>
    <t xml:space="preserve">Full Project Est.</t>
  </si>
  <si>
    <t xml:space="preserve">REVENUE</t>
  </si>
  <si>
    <t xml:space="preserve">Contract Revenue — Earned (% of Completion)</t>
  </si>
  <si>
    <t xml:space="preserve">  % Complete (this period / project / full)</t>
  </si>
  <si>
    <t xml:space="preserve">TOTAL REVENUE</t>
  </si>
  <si>
    <t xml:space="preserve">DIRECT COSTS — COST OF REVENUE</t>
  </si>
  <si>
    <t xml:space="preserve">Direct Labor (Union Field Workers — Laborers L2, OE L150, IW L1)</t>
  </si>
  <si>
    <t xml:space="preserve">Subcontractors (Lining, Grouting, Electrical, Steel, Dewatering)</t>
  </si>
  <si>
    <t xml:space="preserve">Equipment (TBM, Gantry, Crane, Conveyor, Ventilation, Grout Plant)</t>
  </si>
  <si>
    <t xml:space="preserve">Materials (Lining Segments, Grout, Shotcrete, Utilities)</t>
  </si>
  <si>
    <t xml:space="preserve">Other Direct (Permits, IEPA, Safety, FTA Compliance, Monitoring)</t>
  </si>
  <si>
    <t xml:space="preserve">TOTAL DIRECT COSTS</t>
  </si>
  <si>
    <t xml:space="preserve">GROSS PROFIT</t>
  </si>
  <si>
    <t xml:space="preserve">  Gross Margin %</t>
  </si>
  <si>
    <t xml:space="preserve">GENERAL &amp; ADMINISTRATIVE (Annual Allocation)</t>
  </si>
  <si>
    <t xml:space="preserve">Heavy Civil Project Management (PM, Super, TBM Ops)</t>
  </si>
  <si>
    <t xml:space="preserve">G&amp;A Overhead Allocation</t>
  </si>
  <si>
    <t xml:space="preserve">Insurance (GL, Umbrella, Workers Comp)</t>
  </si>
  <si>
    <t xml:space="preserve">Performance &amp; Payment Bonds</t>
  </si>
  <si>
    <t xml:space="preserve">Equipment Depreciation (TBM note impact)</t>
  </si>
  <si>
    <t xml:space="preserve">Professional Fees (Legal, Geotech, HNTB liaison)</t>
  </si>
  <si>
    <t xml:space="preserve">Misc G&amp;A</t>
  </si>
  <si>
    <t xml:space="preserve">TOTAL G&amp;A</t>
  </si>
  <si>
    <t xml:space="preserve">OPERATING INCOME (EBIT)</t>
  </si>
  <si>
    <t xml:space="preserve">OTHER INCOME / (EXPENSE)</t>
  </si>
  <si>
    <t xml:space="preserve">Interest Expense — TBM Note + Equipment LOC</t>
  </si>
  <si>
    <t xml:space="preserve">Other Income (Equipment rental to CTA during shafts)</t>
  </si>
  <si>
    <t xml:space="preserve">NET INCOME</t>
  </si>
  <si>
    <t xml:space="preserve">  Net Margin %</t>
  </si>
  <si>
    <t xml:space="preserve">CTA-RLX-2024 — AIA Billing Schedule &amp; Cash Flow</t>
  </si>
  <si>
    <t xml:space="preserve">Category</t>
  </si>
  <si>
    <t xml:space="preserve">Jan 2026 YTD</t>
  </si>
  <si>
    <t xml:space="preserve">Notes</t>
  </si>
  <si>
    <t xml:space="preserve">AIA APPLICATION PROGRESS DRAW HISTORY</t>
  </si>
  <si>
    <t xml:space="preserve">Application</t>
  </si>
  <si>
    <t xml:space="preserve">Billed Amount</t>
  </si>
  <si>
    <t xml:space="preserve">Status</t>
  </si>
  <si>
    <t xml:space="preserve">Period / Scope Summary</t>
  </si>
  <si>
    <t xml:space="preserve">AIA App #01 — June 2024</t>
  </si>
  <si>
    <t xml:space="preserve">Paid</t>
  </si>
  <si>
    <t xml:space="preserve">TBM mobilization, launching shaft, preconstruction services</t>
  </si>
  <si>
    <t xml:space="preserve">AIA App #02 — September 2024</t>
  </si>
  <si>
    <t xml:space="preserve">TBM launch Ring 1-180 + dewatering + utility relocation start</t>
  </si>
  <si>
    <t xml:space="preserve">AIA App #03 — December 2024</t>
  </si>
  <si>
    <t xml:space="preserve">Rings 181-480 + CO-001 timber caisson + NICOR reroute start</t>
  </si>
  <si>
    <t xml:space="preserve">AIA App #04 — March 2025</t>
  </si>
  <si>
    <t xml:space="preserve">Rings 481-700 + CO-002 NICOR complete + CO-003 groundwater</t>
  </si>
  <si>
    <t xml:space="preserve">AIA App #05 — June 2025</t>
  </si>
  <si>
    <t xml:space="preserve">Rings 701-900 + 111th St station cavern excavation start</t>
  </si>
  <si>
    <t xml:space="preserve">AIA App #06 — September 2025</t>
  </si>
  <si>
    <t xml:space="preserve">Rings 901-1000 + CO-004 shotcrete upgrade 119th St</t>
  </si>
  <si>
    <t xml:space="preserve">AIA App #07 — January 2026</t>
  </si>
  <si>
    <t xml:space="preserve">PENDING</t>
  </si>
  <si>
    <t xml:space="preserve">Rings 1001-1100 + cross passage ground improvement start</t>
  </si>
  <si>
    <t xml:space="preserve">TOTAL BILLED TO DATE</t>
  </si>
  <si>
    <t xml:space="preserve">  Less: Retainage Held by CTA (10%)</t>
  </si>
  <si>
    <t xml:space="preserve">  Net Cash Collected (Apps 1-6 paid)</t>
  </si>
  <si>
    <t xml:space="preserve">OPERATING CASH FLOW (SIMPLIFIED)</t>
  </si>
  <si>
    <t xml:space="preserve">Net Income</t>
  </si>
  <si>
    <t xml:space="preserve">Add: Depreciation</t>
  </si>
  <si>
    <t xml:space="preserve">Equipment incl. TBM</t>
  </si>
  <si>
    <t xml:space="preserve">(Increase) AR — App #7 Pending</t>
  </si>
  <si>
    <t xml:space="preserve">Pending CTA payment</t>
  </si>
  <si>
    <t xml:space="preserve">(Increase) Retainage Receivable</t>
  </si>
  <si>
    <t xml:space="preserve">10% held all apps</t>
  </si>
  <si>
    <t xml:space="preserve">Increase BIE — Overbilling</t>
  </si>
  <si>
    <t xml:space="preserve">Billing ahead of earned — see WIP</t>
  </si>
  <si>
    <t xml:space="preserve">Increase AP — Subcontractors</t>
  </si>
  <si>
    <t xml:space="preserve">Sub invoices net of retainage withheld</t>
  </si>
  <si>
    <t xml:space="preserve">Increase Retainage Payable to Subs</t>
  </si>
  <si>
    <t xml:space="preserve">10% withheld from subs</t>
  </si>
  <si>
    <t xml:space="preserve">Increase Accrued Wages (Union payroll)</t>
  </si>
  <si>
    <t xml:space="preserve">3-week payroll lag union</t>
  </si>
  <si>
    <t xml:space="preserve">Increase Accrued Other</t>
  </si>
  <si>
    <t xml:space="preserve">IEPA, monitoring, compliance</t>
  </si>
  <si>
    <t xml:space="preserve">NET CASH FROM OPERATIONS</t>
  </si>
  <si>
    <t xml:space="preserve">KEY BIE / CIE NOTE</t>
  </si>
  <si>
    <t xml:space="preserve">BIE (Billings in Excess of Earnings) = $36,618,800 — This project has a significant overbilling balance. Heavy civil tunnel projects typically bill aggressively on mobilization and TBM costs early in the project, resulting in front-loaded billing. Revenue earned via % complete (34%) lags total billings ($81,900,000) because the contract is 34% complete but 61.5% billed. BIE appears as a CURRENT LIABILITY on the balance sheet.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</si>
</sst>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.0%;\(0.0%\);\-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5621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A6B3C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color rgb="FFC05621"/>
      <name val="Arial"/>
      <family val="0"/>
      <charset val="1"/>
    </font>
    <font>
      <i val="true"/>
      <sz val="9"/>
      <color rgb="FF1B2A4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EBF4FC"/>
        <bgColor rgb="FFF2F2F2"/>
      </patternFill>
    </fill>
    <fill>
      <patternFill patternType="solid">
        <fgColor rgb="FF2563A0"/>
        <bgColor rgb="FF00808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BF4FC"/>
      </patternFill>
    </fill>
    <fill>
      <patternFill patternType="solid">
        <fgColor rgb="FFD0E4F4"/>
        <bgColor rgb="FFD4EDDA"/>
      </patternFill>
    </fill>
    <fill>
      <patternFill patternType="solid">
        <fgColor rgb="FFD4EDDA"/>
        <bgColor rgb="FFD0E4F4"/>
      </patternFill>
    </fill>
    <fill>
      <patternFill patternType="solid">
        <fgColor rgb="FFFDF5DC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2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3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0" fillId="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9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1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3" borderId="0" xfId="0" applyFont="true" applyBorder="true" applyAlignment="true" applyProtection="false">
      <alignment horizontal="general" vertical="bottom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5DC"/>
      <rgbColor rgb="FFEBF4FC"/>
      <rgbColor rgb="FF660066"/>
      <rgbColor rgb="FFFF8080"/>
      <rgbColor rgb="FF2563A0"/>
      <rgbColor rgb="FFD0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C05621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6" min="3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.75" hidden="false" customHeight="true" outlineLevel="0" collapsed="false">
      <c r="A5" s="4" t="s">
        <v>3</v>
      </c>
      <c r="B5" s="5" t="s">
        <v>4</v>
      </c>
      <c r="C5" s="5"/>
      <c r="D5" s="4" t="s">
        <v>5</v>
      </c>
      <c r="E5" s="5" t="s">
        <v>6</v>
      </c>
    </row>
    <row r="6" customFormat="false" ht="15.75" hidden="false" customHeight="true" outlineLevel="0" collapsed="false">
      <c r="A6" s="6" t="s">
        <v>7</v>
      </c>
      <c r="B6" s="7" t="s">
        <v>8</v>
      </c>
      <c r="C6" s="7"/>
      <c r="D6" s="6" t="s">
        <v>9</v>
      </c>
      <c r="E6" s="7" t="s">
        <v>10</v>
      </c>
    </row>
    <row r="7" customFormat="false" ht="15.75" hidden="false" customHeight="true" outlineLevel="0" collapsed="false">
      <c r="A7" s="4" t="s">
        <v>11</v>
      </c>
      <c r="B7" s="5" t="s">
        <v>12</v>
      </c>
      <c r="C7" s="5"/>
      <c r="D7" s="4" t="s">
        <v>13</v>
      </c>
      <c r="E7" s="5" t="s">
        <v>14</v>
      </c>
    </row>
    <row r="8" customFormat="false" ht="15.75" hidden="false" customHeight="true" outlineLevel="0" collapsed="false">
      <c r="A8" s="6" t="s">
        <v>15</v>
      </c>
      <c r="B8" s="7" t="s">
        <v>16</v>
      </c>
      <c r="C8" s="7"/>
      <c r="D8" s="6" t="s">
        <v>17</v>
      </c>
      <c r="E8" s="7" t="s">
        <v>18</v>
      </c>
    </row>
    <row r="9" customFormat="false" ht="15.75" hidden="false" customHeight="true" outlineLevel="0" collapsed="false">
      <c r="A9" s="4" t="s">
        <v>19</v>
      </c>
      <c r="B9" s="5" t="s">
        <v>20</v>
      </c>
      <c r="C9" s="5"/>
      <c r="D9" s="4" t="s">
        <v>21</v>
      </c>
      <c r="E9" s="5" t="s">
        <v>22</v>
      </c>
    </row>
    <row r="10" customFormat="false" ht="15.75" hidden="false" customHeight="true" outlineLevel="0" collapsed="false">
      <c r="A10" s="6" t="s">
        <v>23</v>
      </c>
      <c r="B10" s="7" t="s">
        <v>24</v>
      </c>
      <c r="C10" s="7"/>
      <c r="D10" s="6" t="s">
        <v>25</v>
      </c>
      <c r="E10" s="7" t="s">
        <v>26</v>
      </c>
    </row>
    <row r="11" customFormat="false" ht="15.75" hidden="false" customHeight="true" outlineLevel="0" collapsed="false">
      <c r="A11" s="4" t="s">
        <v>27</v>
      </c>
      <c r="B11" s="5" t="s">
        <v>28</v>
      </c>
      <c r="C11" s="5"/>
      <c r="D11" s="4" t="s">
        <v>29</v>
      </c>
      <c r="E11" s="5" t="s">
        <v>30</v>
      </c>
    </row>
    <row r="12" customFormat="false" ht="15.75" hidden="false" customHeight="true" outlineLevel="0" collapsed="false">
      <c r="A12" s="6" t="s">
        <v>31</v>
      </c>
      <c r="B12" s="7" t="s">
        <v>32</v>
      </c>
      <c r="C12" s="7"/>
      <c r="D12" s="6" t="s">
        <v>33</v>
      </c>
      <c r="E12" s="7" t="s">
        <v>34</v>
      </c>
    </row>
    <row r="13" customFormat="false" ht="15.75" hidden="false" customHeight="true" outlineLevel="0" collapsed="false">
      <c r="A13" s="4" t="s">
        <v>35</v>
      </c>
      <c r="B13" s="5" t="s">
        <v>36</v>
      </c>
      <c r="C13" s="5"/>
      <c r="D13" s="4" t="s">
        <v>37</v>
      </c>
      <c r="E13" s="5" t="s">
        <v>38</v>
      </c>
    </row>
    <row r="15" customFormat="false" ht="15" hidden="false" customHeight="false" outlineLevel="0" collapsed="false">
      <c r="A15" s="3" t="s">
        <v>39</v>
      </c>
      <c r="B15" s="3"/>
      <c r="C15" s="3"/>
      <c r="D15" s="3"/>
      <c r="E15" s="3"/>
      <c r="F15" s="3"/>
    </row>
    <row r="16" customFormat="false" ht="15" hidden="false" customHeight="false" outlineLevel="0" collapsed="false">
      <c r="A16" s="8" t="s">
        <v>40</v>
      </c>
      <c r="B16" s="9" t="n">
        <v>127500000</v>
      </c>
    </row>
    <row r="17" customFormat="false" ht="15" hidden="false" customHeight="false" outlineLevel="0" collapsed="false">
      <c r="A17" s="8" t="s">
        <v>41</v>
      </c>
      <c r="B17" s="9" t="n">
        <v>5680000</v>
      </c>
    </row>
    <row r="18" customFormat="false" ht="15" hidden="false" customHeight="false" outlineLevel="0" collapsed="false">
      <c r="A18" s="10" t="s">
        <v>42</v>
      </c>
      <c r="B18" s="11" t="n">
        <v>133180000</v>
      </c>
    </row>
    <row r="19" customFormat="false" ht="15" hidden="false" customHeight="false" outlineLevel="0" collapsed="false">
      <c r="A19" s="8" t="s">
        <v>43</v>
      </c>
      <c r="B19" s="9" t="n">
        <v>119800000</v>
      </c>
    </row>
    <row r="20" customFormat="false" ht="15" hidden="false" customHeight="false" outlineLevel="0" collapsed="false">
      <c r="A20" s="10" t="s">
        <v>44</v>
      </c>
      <c r="B20" s="12" t="n">
        <v>13380000</v>
      </c>
    </row>
    <row r="21" customFormat="false" ht="15" hidden="false" customHeight="false" outlineLevel="0" collapsed="false">
      <c r="A21" s="8" t="s">
        <v>45</v>
      </c>
      <c r="B21" s="13" t="n">
        <v>0.100465535365671</v>
      </c>
    </row>
    <row r="23" customFormat="false" ht="15" hidden="false" customHeight="false" outlineLevel="0" collapsed="false">
      <c r="A23" s="3" t="s">
        <v>46</v>
      </c>
      <c r="B23" s="3"/>
      <c r="C23" s="3"/>
      <c r="D23" s="3"/>
      <c r="E23" s="3"/>
      <c r="F23" s="3"/>
    </row>
    <row r="24" customFormat="false" ht="27.75" hidden="false" customHeight="true" outlineLevel="0" collapsed="false">
      <c r="A24" s="14" t="s">
        <v>47</v>
      </c>
      <c r="B24" s="14" t="s">
        <v>48</v>
      </c>
      <c r="C24" s="14" t="s">
        <v>49</v>
      </c>
      <c r="D24" s="14" t="s">
        <v>50</v>
      </c>
      <c r="E24" s="14" t="s">
        <v>51</v>
      </c>
      <c r="F24" s="14" t="s">
        <v>52</v>
      </c>
    </row>
    <row r="25" customFormat="false" ht="15.75" hidden="false" customHeight="true" outlineLevel="0" collapsed="false">
      <c r="A25" s="8" t="s">
        <v>53</v>
      </c>
      <c r="B25" s="9" t="n">
        <v>58000000</v>
      </c>
      <c r="C25" s="15" t="n">
        <v>0.33</v>
      </c>
      <c r="D25" s="16" t="n">
        <v>19140000</v>
      </c>
      <c r="E25" s="16" t="n">
        <v>24000000</v>
      </c>
      <c r="F25" s="17" t="n">
        <v>4860000</v>
      </c>
    </row>
    <row r="26" customFormat="false" ht="15.75" hidden="false" customHeight="true" outlineLevel="0" collapsed="false">
      <c r="A26" s="18" t="s">
        <v>54</v>
      </c>
      <c r="B26" s="19" t="n">
        <v>24800000</v>
      </c>
      <c r="C26" s="20" t="n">
        <v>0.34</v>
      </c>
      <c r="D26" s="21" t="n">
        <v>8432000</v>
      </c>
      <c r="E26" s="21" t="n">
        <v>8432000</v>
      </c>
      <c r="F26" s="22" t="n">
        <v>0</v>
      </c>
    </row>
    <row r="27" customFormat="false" ht="15.75" hidden="false" customHeight="true" outlineLevel="0" collapsed="false">
      <c r="A27" s="8" t="s">
        <v>55</v>
      </c>
      <c r="B27" s="9" t="n">
        <v>6400000</v>
      </c>
      <c r="C27" s="15" t="n">
        <v>0.34</v>
      </c>
      <c r="D27" s="16" t="n">
        <v>2176000</v>
      </c>
      <c r="E27" s="16" t="n">
        <v>2176000</v>
      </c>
      <c r="F27" s="23" t="n">
        <v>0</v>
      </c>
    </row>
    <row r="28" customFormat="false" ht="15.75" hidden="false" customHeight="true" outlineLevel="0" collapsed="false">
      <c r="A28" s="18" t="s">
        <v>56</v>
      </c>
      <c r="B28" s="19" t="n">
        <v>8200000</v>
      </c>
      <c r="C28" s="20" t="n">
        <v>0.34</v>
      </c>
      <c r="D28" s="21" t="n">
        <v>2788000</v>
      </c>
      <c r="E28" s="21" t="n">
        <v>2788000</v>
      </c>
      <c r="F28" s="22" t="n">
        <v>0</v>
      </c>
    </row>
    <row r="29" customFormat="false" ht="15.75" hidden="false" customHeight="true" outlineLevel="0" collapsed="false">
      <c r="A29" s="8" t="s">
        <v>57</v>
      </c>
      <c r="B29" s="9" t="n">
        <v>14600000</v>
      </c>
      <c r="C29" s="15" t="n">
        <v>0.28</v>
      </c>
      <c r="D29" s="16" t="n">
        <v>4088000</v>
      </c>
      <c r="E29" s="16" t="n">
        <v>4088000</v>
      </c>
      <c r="F29" s="23" t="n">
        <v>0</v>
      </c>
    </row>
    <row r="30" customFormat="false" ht="15.75" hidden="false" customHeight="true" outlineLevel="0" collapsed="false">
      <c r="A30" s="18" t="s">
        <v>58</v>
      </c>
      <c r="B30" s="19" t="n">
        <v>14600000</v>
      </c>
      <c r="C30" s="20" t="n">
        <v>0.12</v>
      </c>
      <c r="D30" s="21" t="n">
        <v>1752000</v>
      </c>
      <c r="E30" s="21" t="n">
        <v>1752000</v>
      </c>
      <c r="F30" s="22" t="n">
        <v>0</v>
      </c>
    </row>
    <row r="31" customFormat="false" ht="15.75" hidden="false" customHeight="true" outlineLevel="0" collapsed="false">
      <c r="A31" s="8" t="s">
        <v>59</v>
      </c>
      <c r="B31" s="9" t="n">
        <v>14600000</v>
      </c>
      <c r="C31" s="15" t="n">
        <v>0</v>
      </c>
      <c r="D31" s="16" t="n">
        <v>0</v>
      </c>
      <c r="E31" s="16" t="n">
        <v>0</v>
      </c>
      <c r="F31" s="23" t="n">
        <v>0</v>
      </c>
    </row>
    <row r="32" customFormat="false" ht="15.75" hidden="false" customHeight="true" outlineLevel="0" collapsed="false">
      <c r="A32" s="18" t="s">
        <v>60</v>
      </c>
      <c r="B32" s="19" t="n">
        <v>7800000</v>
      </c>
      <c r="C32" s="20" t="n">
        <v>0.18</v>
      </c>
      <c r="D32" s="21" t="n">
        <v>1404000</v>
      </c>
      <c r="E32" s="21" t="n">
        <v>1404000</v>
      </c>
      <c r="F32" s="22" t="n">
        <v>0</v>
      </c>
    </row>
    <row r="33" customFormat="false" ht="15.75" hidden="false" customHeight="true" outlineLevel="0" collapsed="false">
      <c r="A33" s="8" t="s">
        <v>61</v>
      </c>
      <c r="B33" s="9" t="n">
        <v>11400000</v>
      </c>
      <c r="C33" s="15" t="n">
        <v>0.34</v>
      </c>
      <c r="D33" s="16" t="n">
        <v>3876000</v>
      </c>
      <c r="E33" s="16" t="n">
        <v>3876000</v>
      </c>
      <c r="F33" s="23" t="n">
        <v>0</v>
      </c>
    </row>
    <row r="34" customFormat="false" ht="15.75" hidden="false" customHeight="true" outlineLevel="0" collapsed="false">
      <c r="A34" s="18" t="s">
        <v>62</v>
      </c>
      <c r="B34" s="19" t="n">
        <v>8900000</v>
      </c>
      <c r="C34" s="20" t="n">
        <v>0.2</v>
      </c>
      <c r="D34" s="21" t="n">
        <v>1780000</v>
      </c>
      <c r="E34" s="21" t="n">
        <v>1780000</v>
      </c>
      <c r="F34" s="22" t="n">
        <v>0</v>
      </c>
    </row>
    <row r="35" customFormat="false" ht="15.75" hidden="false" customHeight="true" outlineLevel="0" collapsed="false">
      <c r="A35" s="8" t="s">
        <v>63</v>
      </c>
      <c r="B35" s="9" t="n">
        <v>14800000</v>
      </c>
      <c r="C35" s="15" t="n">
        <v>0.94</v>
      </c>
      <c r="D35" s="16" t="n">
        <v>13912000</v>
      </c>
      <c r="E35" s="16" t="n">
        <v>13912000</v>
      </c>
      <c r="F35" s="23" t="n">
        <v>0</v>
      </c>
    </row>
    <row r="36" customFormat="false" ht="15.75" hidden="false" customHeight="true" outlineLevel="0" collapsed="false">
      <c r="A36" s="18" t="s">
        <v>64</v>
      </c>
      <c r="B36" s="19" t="n">
        <v>4200000</v>
      </c>
      <c r="C36" s="20" t="n">
        <v>0.34</v>
      </c>
      <c r="D36" s="21" t="n">
        <v>1428000</v>
      </c>
      <c r="E36" s="21" t="n">
        <v>1428000</v>
      </c>
      <c r="F36" s="22" t="n">
        <v>0</v>
      </c>
    </row>
    <row r="37" customFormat="false" ht="15.75" hidden="false" customHeight="true" outlineLevel="0" collapsed="false">
      <c r="A37" s="8" t="s">
        <v>65</v>
      </c>
      <c r="B37" s="9" t="n">
        <v>18880000</v>
      </c>
      <c r="C37" s="15" t="n">
        <v>0.75</v>
      </c>
      <c r="D37" s="16" t="n">
        <v>14160000</v>
      </c>
      <c r="E37" s="16" t="n">
        <v>16264000</v>
      </c>
      <c r="F37" s="17" t="n">
        <v>2104000</v>
      </c>
    </row>
    <row r="38" customFormat="false" ht="21.75" hidden="false" customHeight="true" outlineLevel="0" collapsed="false">
      <c r="A38" s="24" t="s">
        <v>66</v>
      </c>
      <c r="B38" s="25" t="n">
        <f aca="false">SUM(B25:B37)</f>
        <v>207180000</v>
      </c>
      <c r="C38" s="26" t="n">
        <f aca="false">SUMPRODUCT(B25:B37,C25:C37)/SUM(B25:B37)</f>
        <v>0.36169514431895</v>
      </c>
      <c r="D38" s="25" t="n">
        <f aca="false">SUM(D25:D37)</f>
        <v>74936000</v>
      </c>
      <c r="E38" s="25" t="n">
        <f aca="false">SUM(E25:E37)</f>
        <v>81900000</v>
      </c>
      <c r="F38" s="25" t="n">
        <f aca="false">SUM(F25:F37)</f>
        <v>6964000</v>
      </c>
    </row>
  </sheetData>
  <mergeCells count="5">
    <mergeCell ref="A1:F1"/>
    <mergeCell ref="A2:F2"/>
    <mergeCell ref="A4:F4"/>
    <mergeCell ref="A15:F15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8"/>
  </cols>
  <sheetData>
    <row r="1" customFormat="false" ht="21.75" hidden="false" customHeight="true" outlineLevel="0" collapsed="false">
      <c r="A1" s="27" t="s">
        <v>67</v>
      </c>
      <c r="B1" s="27"/>
      <c r="C1" s="27"/>
      <c r="D1" s="27"/>
    </row>
    <row r="2" customFormat="false" ht="21.75" hidden="false" customHeight="true" outlineLevel="0" collapsed="false">
      <c r="A2" s="28" t="s">
        <v>68</v>
      </c>
      <c r="B2" s="28" t="s">
        <v>69</v>
      </c>
      <c r="C2" s="28" t="s">
        <v>70</v>
      </c>
      <c r="D2" s="29" t="s">
        <v>71</v>
      </c>
    </row>
    <row r="3" customFormat="false" ht="15" hidden="false" customHeight="false" outlineLevel="0" collapsed="false">
      <c r="A3" s="3" t="s">
        <v>72</v>
      </c>
      <c r="B3" s="3"/>
      <c r="C3" s="3"/>
      <c r="D3" s="3"/>
    </row>
    <row r="4" customFormat="false" ht="15" hidden="false" customHeight="false" outlineLevel="0" collapsed="false">
      <c r="A4" s="8" t="s">
        <v>73</v>
      </c>
      <c r="B4" s="9" t="n">
        <v>10600000</v>
      </c>
      <c r="C4" s="9" t="n">
        <v>45281200</v>
      </c>
      <c r="D4" s="9" t="n">
        <v>133180000</v>
      </c>
    </row>
    <row r="5" customFormat="false" ht="15" hidden="false" customHeight="false" outlineLevel="0" collapsed="false">
      <c r="A5" s="30" t="s">
        <v>74</v>
      </c>
      <c r="B5" s="31" t="n">
        <v>0.0796</v>
      </c>
      <c r="C5" s="31" t="n">
        <v>0.34</v>
      </c>
      <c r="D5" s="31" t="n">
        <v>1</v>
      </c>
    </row>
    <row r="6" customFormat="false" ht="15" hidden="false" customHeight="false" outlineLevel="0" collapsed="false">
      <c r="A6" s="32" t="s">
        <v>75</v>
      </c>
      <c r="B6" s="33" t="n">
        <f aca="false">B4</f>
        <v>10600000</v>
      </c>
      <c r="C6" s="33" t="n">
        <f aca="false">C4</f>
        <v>45281200</v>
      </c>
      <c r="D6" s="33" t="n">
        <f aca="false">D4</f>
        <v>133180000</v>
      </c>
    </row>
    <row r="8" customFormat="false" ht="15" hidden="false" customHeight="false" outlineLevel="0" collapsed="false">
      <c r="A8" s="3" t="s">
        <v>76</v>
      </c>
      <c r="B8" s="3"/>
      <c r="C8" s="3"/>
      <c r="D8" s="3"/>
    </row>
    <row r="9" customFormat="false" ht="15" hidden="false" customHeight="false" outlineLevel="0" collapsed="false">
      <c r="A9" s="8" t="s">
        <v>77</v>
      </c>
      <c r="B9" s="9" t="n">
        <v>2150400</v>
      </c>
      <c r="C9" s="9" t="n">
        <v>9775680</v>
      </c>
      <c r="D9" s="9" t="n">
        <v>28752000</v>
      </c>
    </row>
    <row r="10" customFormat="false" ht="15" hidden="false" customHeight="false" outlineLevel="0" collapsed="false">
      <c r="A10" s="8" t="s">
        <v>78</v>
      </c>
      <c r="B10" s="9" t="n">
        <v>4300800</v>
      </c>
      <c r="C10" s="9" t="n">
        <v>19551360</v>
      </c>
      <c r="D10" s="9" t="n">
        <v>57504000</v>
      </c>
    </row>
    <row r="11" customFormat="false" ht="15" hidden="false" customHeight="false" outlineLevel="0" collapsed="false">
      <c r="A11" s="8" t="s">
        <v>79</v>
      </c>
      <c r="B11" s="9" t="n">
        <v>1612800</v>
      </c>
      <c r="C11" s="9" t="n">
        <v>7331760</v>
      </c>
      <c r="D11" s="9" t="n">
        <v>21564000</v>
      </c>
    </row>
    <row r="12" customFormat="false" ht="15" hidden="false" customHeight="false" outlineLevel="0" collapsed="false">
      <c r="A12" s="8" t="s">
        <v>80</v>
      </c>
      <c r="B12" s="9" t="n">
        <v>627200</v>
      </c>
      <c r="C12" s="9" t="n">
        <v>2851240</v>
      </c>
      <c r="D12" s="9" t="n">
        <v>8386000</v>
      </c>
    </row>
    <row r="13" customFormat="false" ht="15" hidden="false" customHeight="false" outlineLevel="0" collapsed="false">
      <c r="A13" s="8" t="s">
        <v>81</v>
      </c>
      <c r="B13" s="9" t="n">
        <v>268800</v>
      </c>
      <c r="C13" s="9" t="n">
        <v>1221960</v>
      </c>
      <c r="D13" s="9" t="n">
        <v>3594000</v>
      </c>
    </row>
    <row r="14" customFormat="false" ht="15" hidden="false" customHeight="false" outlineLevel="0" collapsed="false">
      <c r="A14" s="32" t="s">
        <v>82</v>
      </c>
      <c r="B14" s="33" t="n">
        <f aca="false">SUM(B9:B13)</f>
        <v>8960000</v>
      </c>
      <c r="C14" s="33" t="n">
        <f aca="false">SUM(C9:C13)</f>
        <v>40732000</v>
      </c>
      <c r="D14" s="33" t="n">
        <f aca="false">SUM(D9:D13)</f>
        <v>119800000</v>
      </c>
    </row>
    <row r="15" customFormat="false" ht="15" hidden="false" customHeight="false" outlineLevel="0" collapsed="false">
      <c r="A15" s="34" t="s">
        <v>83</v>
      </c>
      <c r="B15" s="35" t="n">
        <f aca="false">B6-B14</f>
        <v>1640000</v>
      </c>
      <c r="C15" s="35" t="n">
        <f aca="false">C6-C14</f>
        <v>4549200</v>
      </c>
      <c r="D15" s="35" t="n">
        <f aca="false">D6-D14</f>
        <v>13380000</v>
      </c>
    </row>
    <row r="16" customFormat="false" ht="15" hidden="false" customHeight="false" outlineLevel="0" collapsed="false">
      <c r="A16" s="30" t="s">
        <v>84</v>
      </c>
      <c r="B16" s="36" t="n">
        <f aca="false">IF(B6=0,0,B15/B6)</f>
        <v>0.154716981132075</v>
      </c>
      <c r="C16" s="36" t="n">
        <f aca="false">IF(C6=0,0,C15/C6)</f>
        <v>0.100465535365671</v>
      </c>
      <c r="D16" s="36" t="n">
        <f aca="false">IF(D6=0,0,D15/D6)</f>
        <v>0.100465535365671</v>
      </c>
    </row>
    <row r="18" customFormat="false" ht="15" hidden="false" customHeight="false" outlineLevel="0" collapsed="false">
      <c r="A18" s="3" t="s">
        <v>85</v>
      </c>
      <c r="B18" s="3"/>
      <c r="C18" s="3"/>
      <c r="D18" s="3"/>
    </row>
    <row r="19" customFormat="false" ht="15" hidden="false" customHeight="false" outlineLevel="0" collapsed="false">
      <c r="A19" s="8" t="s">
        <v>86</v>
      </c>
      <c r="B19" s="9" t="n">
        <v>140000</v>
      </c>
      <c r="C19" s="9" t="n">
        <v>1680000</v>
      </c>
      <c r="D19" s="9" t="n">
        <v>1680000</v>
      </c>
    </row>
    <row r="20" customFormat="false" ht="15" hidden="false" customHeight="false" outlineLevel="0" collapsed="false">
      <c r="A20" s="8" t="s">
        <v>87</v>
      </c>
      <c r="B20" s="9" t="n">
        <v>63000</v>
      </c>
      <c r="C20" s="9" t="n">
        <v>756000</v>
      </c>
      <c r="D20" s="9" t="n">
        <v>756000</v>
      </c>
    </row>
    <row r="21" customFormat="false" ht="15" hidden="false" customHeight="false" outlineLevel="0" collapsed="false">
      <c r="A21" s="8" t="s">
        <v>88</v>
      </c>
      <c r="B21" s="9" t="n">
        <v>52500</v>
      </c>
      <c r="C21" s="9" t="n">
        <v>630000</v>
      </c>
      <c r="D21" s="9" t="n">
        <v>630000</v>
      </c>
    </row>
    <row r="22" customFormat="false" ht="15" hidden="false" customHeight="false" outlineLevel="0" collapsed="false">
      <c r="A22" s="8" t="s">
        <v>89</v>
      </c>
      <c r="B22" s="9" t="n">
        <v>42000</v>
      </c>
      <c r="C22" s="9" t="n">
        <v>504000</v>
      </c>
      <c r="D22" s="9" t="n">
        <v>504000</v>
      </c>
    </row>
    <row r="23" customFormat="false" ht="15" hidden="false" customHeight="false" outlineLevel="0" collapsed="false">
      <c r="A23" s="8" t="s">
        <v>90</v>
      </c>
      <c r="B23" s="9" t="n">
        <v>28000</v>
      </c>
      <c r="C23" s="9" t="n">
        <v>336000</v>
      </c>
      <c r="D23" s="9" t="n">
        <v>336000</v>
      </c>
    </row>
    <row r="24" customFormat="false" ht="15" hidden="false" customHeight="false" outlineLevel="0" collapsed="false">
      <c r="A24" s="8" t="s">
        <v>91</v>
      </c>
      <c r="B24" s="9" t="n">
        <v>14000</v>
      </c>
      <c r="C24" s="9" t="n">
        <v>168000</v>
      </c>
      <c r="D24" s="9" t="n">
        <v>168000</v>
      </c>
    </row>
    <row r="25" customFormat="false" ht="15" hidden="false" customHeight="false" outlineLevel="0" collapsed="false">
      <c r="A25" s="8" t="s">
        <v>92</v>
      </c>
      <c r="B25" s="9" t="n">
        <v>10500</v>
      </c>
      <c r="C25" s="9" t="n">
        <v>126000</v>
      </c>
      <c r="D25" s="9" t="n">
        <v>126000</v>
      </c>
    </row>
    <row r="26" customFormat="false" ht="15" hidden="false" customHeight="false" outlineLevel="0" collapsed="false">
      <c r="A26" s="32" t="s">
        <v>93</v>
      </c>
      <c r="B26" s="33" t="n">
        <f aca="false">SUM(B19:B25)</f>
        <v>350000</v>
      </c>
      <c r="C26" s="33" t="n">
        <f aca="false">SUM(C19:C25)</f>
        <v>4200000</v>
      </c>
      <c r="D26" s="33" t="n">
        <f aca="false">SUM(D19:D25)</f>
        <v>4200000</v>
      </c>
    </row>
    <row r="27" customFormat="false" ht="15" hidden="false" customHeight="false" outlineLevel="0" collapsed="false">
      <c r="A27" s="32" t="s">
        <v>94</v>
      </c>
      <c r="B27" s="33" t="n">
        <f aca="false">B15-B26</f>
        <v>1290000</v>
      </c>
      <c r="C27" s="33" t="n">
        <f aca="false">C15-C26</f>
        <v>349200</v>
      </c>
      <c r="D27" s="33" t="n">
        <f aca="false">D15-D26</f>
        <v>9180000</v>
      </c>
    </row>
    <row r="29" customFormat="false" ht="15" hidden="false" customHeight="false" outlineLevel="0" collapsed="false">
      <c r="A29" s="3" t="s">
        <v>95</v>
      </c>
      <c r="B29" s="3"/>
      <c r="C29" s="3"/>
      <c r="D29" s="3"/>
    </row>
    <row r="30" customFormat="false" ht="15" hidden="false" customHeight="false" outlineLevel="0" collapsed="false">
      <c r="A30" s="8" t="s">
        <v>96</v>
      </c>
      <c r="B30" s="9" t="n">
        <v>-185000</v>
      </c>
      <c r="C30" s="9" t="n">
        <v>-528000</v>
      </c>
      <c r="D30" s="9" t="n">
        <v>-528000</v>
      </c>
    </row>
    <row r="31" customFormat="false" ht="15" hidden="false" customHeight="false" outlineLevel="0" collapsed="false">
      <c r="A31" s="8" t="s">
        <v>97</v>
      </c>
      <c r="B31" s="9" t="n">
        <v>0</v>
      </c>
      <c r="C31" s="9" t="n">
        <v>85000</v>
      </c>
      <c r="D31" s="9" t="n">
        <v>85000</v>
      </c>
    </row>
    <row r="33" customFormat="false" ht="15" hidden="false" customHeight="false" outlineLevel="0" collapsed="false">
      <c r="A33" s="24" t="s">
        <v>98</v>
      </c>
      <c r="B33" s="37" t="n">
        <f aca="false">B27+B30+B31</f>
        <v>1105000</v>
      </c>
      <c r="C33" s="37" t="n">
        <f aca="false">C27+C30+C31</f>
        <v>-93800</v>
      </c>
      <c r="D33" s="37" t="n">
        <f aca="false">D27+D30+D31</f>
        <v>8737000</v>
      </c>
    </row>
    <row r="34" customFormat="false" ht="15" hidden="false" customHeight="false" outlineLevel="0" collapsed="false">
      <c r="A34" s="30" t="s">
        <v>99</v>
      </c>
      <c r="B34" s="36" t="n">
        <f aca="false">IF(B6=0,0,B33/B6)</f>
        <v>0.104245283018868</v>
      </c>
      <c r="C34" s="36" t="n">
        <f aca="false">IF(C6=0,0,C33/C6)</f>
        <v>-0.00207149987191152</v>
      </c>
      <c r="D34" s="36" t="n">
        <f aca="false">IF(D6=0,0,D33/D6)</f>
        <v>0.0656029433848926</v>
      </c>
    </row>
  </sheetData>
  <mergeCells count="5">
    <mergeCell ref="A1:D1"/>
    <mergeCell ref="A3:D3"/>
    <mergeCell ref="A8:D8"/>
    <mergeCell ref="A18:D1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20"/>
  </cols>
  <sheetData>
    <row r="1" customFormat="false" ht="21.75" hidden="false" customHeight="true" outlineLevel="0" collapsed="false">
      <c r="A1" s="27" t="s">
        <v>100</v>
      </c>
      <c r="B1" s="27"/>
      <c r="C1" s="27"/>
      <c r="D1" s="27"/>
    </row>
    <row r="2" customFormat="false" ht="15" hidden="false" customHeight="false" outlineLevel="0" collapsed="false">
      <c r="A2" s="38" t="s">
        <v>101</v>
      </c>
      <c r="B2" s="28" t="s">
        <v>102</v>
      </c>
      <c r="C2" s="28" t="s">
        <v>70</v>
      </c>
      <c r="D2" s="39" t="s">
        <v>103</v>
      </c>
    </row>
    <row r="3" customFormat="false" ht="15" hidden="false" customHeight="false" outlineLevel="0" collapsed="false">
      <c r="A3" s="3" t="s">
        <v>104</v>
      </c>
      <c r="B3" s="3"/>
      <c r="C3" s="3"/>
      <c r="D3" s="3"/>
    </row>
    <row r="4" customFormat="false" ht="19.5" hidden="false" customHeight="true" outlineLevel="0" collapsed="false">
      <c r="A4" s="40" t="s">
        <v>105</v>
      </c>
      <c r="B4" s="41" t="s">
        <v>106</v>
      </c>
      <c r="C4" s="41" t="s">
        <v>107</v>
      </c>
      <c r="D4" s="40" t="s">
        <v>108</v>
      </c>
    </row>
    <row r="5" customFormat="false" ht="15.75" hidden="false" customHeight="true" outlineLevel="0" collapsed="false">
      <c r="A5" s="18" t="s">
        <v>109</v>
      </c>
      <c r="B5" s="19" t="n">
        <v>9500000</v>
      </c>
      <c r="C5" s="42" t="s">
        <v>110</v>
      </c>
      <c r="D5" s="43" t="s">
        <v>111</v>
      </c>
    </row>
    <row r="6" customFormat="false" ht="15.75" hidden="false" customHeight="true" outlineLevel="0" collapsed="false">
      <c r="A6" s="8" t="s">
        <v>112</v>
      </c>
      <c r="B6" s="9" t="n">
        <v>11800000</v>
      </c>
      <c r="C6" s="44" t="s">
        <v>110</v>
      </c>
      <c r="D6" s="45" t="s">
        <v>113</v>
      </c>
    </row>
    <row r="7" customFormat="false" ht="15.75" hidden="false" customHeight="true" outlineLevel="0" collapsed="false">
      <c r="A7" s="18" t="s">
        <v>114</v>
      </c>
      <c r="B7" s="19" t="n">
        <v>13200000</v>
      </c>
      <c r="C7" s="42" t="s">
        <v>110</v>
      </c>
      <c r="D7" s="43" t="s">
        <v>115</v>
      </c>
    </row>
    <row r="8" customFormat="false" ht="15.75" hidden="false" customHeight="true" outlineLevel="0" collapsed="false">
      <c r="A8" s="8" t="s">
        <v>116</v>
      </c>
      <c r="B8" s="9" t="n">
        <v>12600000</v>
      </c>
      <c r="C8" s="44" t="s">
        <v>110</v>
      </c>
      <c r="D8" s="45" t="s">
        <v>117</v>
      </c>
    </row>
    <row r="9" customFormat="false" ht="15.75" hidden="false" customHeight="true" outlineLevel="0" collapsed="false">
      <c r="A9" s="18" t="s">
        <v>118</v>
      </c>
      <c r="B9" s="19" t="n">
        <v>11400000</v>
      </c>
      <c r="C9" s="42" t="s">
        <v>110</v>
      </c>
      <c r="D9" s="43" t="s">
        <v>119</v>
      </c>
    </row>
    <row r="10" customFormat="false" ht="15.75" hidden="false" customHeight="true" outlineLevel="0" collapsed="false">
      <c r="A10" s="8" t="s">
        <v>120</v>
      </c>
      <c r="B10" s="9" t="n">
        <v>12800000</v>
      </c>
      <c r="C10" s="44" t="s">
        <v>110</v>
      </c>
      <c r="D10" s="45" t="s">
        <v>121</v>
      </c>
    </row>
    <row r="11" customFormat="false" ht="15.75" hidden="false" customHeight="true" outlineLevel="0" collapsed="false">
      <c r="A11" s="46" t="s">
        <v>122</v>
      </c>
      <c r="B11" s="47" t="n">
        <v>10600000</v>
      </c>
      <c r="C11" s="48" t="s">
        <v>123</v>
      </c>
      <c r="D11" s="49" t="s">
        <v>124</v>
      </c>
    </row>
    <row r="12" customFormat="false" ht="15" hidden="false" customHeight="false" outlineLevel="0" collapsed="false">
      <c r="A12" s="24" t="s">
        <v>125</v>
      </c>
      <c r="B12" s="50" t="n">
        <v>81900000</v>
      </c>
    </row>
    <row r="13" customFormat="false" ht="15" hidden="false" customHeight="false" outlineLevel="0" collapsed="false">
      <c r="A13" s="8" t="s">
        <v>126</v>
      </c>
      <c r="B13" s="9" t="n">
        <v>-8190000</v>
      </c>
    </row>
    <row r="14" customFormat="false" ht="15" hidden="false" customHeight="false" outlineLevel="0" collapsed="false">
      <c r="A14" s="10" t="s">
        <v>127</v>
      </c>
      <c r="B14" s="51" t="n">
        <v>71300000</v>
      </c>
    </row>
    <row r="16" customFormat="false" ht="15" hidden="false" customHeight="false" outlineLevel="0" collapsed="false">
      <c r="A16" s="3" t="s">
        <v>128</v>
      </c>
      <c r="B16" s="3"/>
      <c r="C16" s="3"/>
      <c r="D16" s="3"/>
    </row>
    <row r="17" customFormat="false" ht="15" hidden="false" customHeight="false" outlineLevel="0" collapsed="false">
      <c r="A17" s="8" t="s">
        <v>129</v>
      </c>
      <c r="B17" s="9" t="n">
        <v>1105000</v>
      </c>
      <c r="C17" s="9" t="n">
        <v>-93800</v>
      </c>
      <c r="D17" s="52"/>
    </row>
    <row r="18" customFormat="false" ht="15" hidden="false" customHeight="false" outlineLevel="0" collapsed="false">
      <c r="A18" s="8" t="s">
        <v>130</v>
      </c>
      <c r="B18" s="9" t="n">
        <v>28000</v>
      </c>
      <c r="C18" s="9" t="n">
        <v>672000</v>
      </c>
      <c r="D18" s="52" t="s">
        <v>131</v>
      </c>
    </row>
    <row r="19" customFormat="false" ht="15" hidden="false" customHeight="false" outlineLevel="0" collapsed="false">
      <c r="A19" s="8" t="s">
        <v>132</v>
      </c>
      <c r="B19" s="9" t="n">
        <v>-10600000</v>
      </c>
      <c r="C19" s="9" t="n">
        <v>-14500000</v>
      </c>
      <c r="D19" s="52" t="s">
        <v>133</v>
      </c>
    </row>
    <row r="20" customFormat="false" ht="15" hidden="false" customHeight="false" outlineLevel="0" collapsed="false">
      <c r="A20" s="8" t="s">
        <v>134</v>
      </c>
      <c r="B20" s="9" t="n">
        <v>-1060000</v>
      </c>
      <c r="C20" s="9" t="n">
        <v>-8190000</v>
      </c>
      <c r="D20" s="52" t="s">
        <v>135</v>
      </c>
    </row>
    <row r="21" customFormat="false" ht="15" hidden="false" customHeight="false" outlineLevel="0" collapsed="false">
      <c r="A21" s="8" t="s">
        <v>136</v>
      </c>
      <c r="B21" s="9" t="n">
        <v>0</v>
      </c>
      <c r="C21" s="9" t="n">
        <v>36618800</v>
      </c>
      <c r="D21" s="52" t="s">
        <v>137</v>
      </c>
    </row>
    <row r="22" customFormat="false" ht="15" hidden="false" customHeight="false" outlineLevel="0" collapsed="false">
      <c r="A22" s="8" t="s">
        <v>138</v>
      </c>
      <c r="B22" s="9" t="n">
        <v>8960000</v>
      </c>
      <c r="C22" s="9" t="n">
        <v>22800000</v>
      </c>
      <c r="D22" s="52" t="s">
        <v>139</v>
      </c>
    </row>
    <row r="23" customFormat="false" ht="15" hidden="false" customHeight="false" outlineLevel="0" collapsed="false">
      <c r="A23" s="8" t="s">
        <v>140</v>
      </c>
      <c r="B23" s="9" t="n">
        <v>0</v>
      </c>
      <c r="C23" s="9" t="n">
        <v>6840000</v>
      </c>
      <c r="D23" s="52" t="s">
        <v>141</v>
      </c>
    </row>
    <row r="24" customFormat="false" ht="15" hidden="false" customHeight="false" outlineLevel="0" collapsed="false">
      <c r="A24" s="8" t="s">
        <v>142</v>
      </c>
      <c r="B24" s="9" t="n">
        <v>2140000</v>
      </c>
      <c r="C24" s="9" t="n">
        <v>6420000</v>
      </c>
      <c r="D24" s="52" t="s">
        <v>143</v>
      </c>
    </row>
    <row r="25" customFormat="false" ht="15" hidden="false" customHeight="false" outlineLevel="0" collapsed="false">
      <c r="A25" s="8" t="s">
        <v>144</v>
      </c>
      <c r="B25" s="9" t="n">
        <v>480000</v>
      </c>
      <c r="C25" s="9" t="n">
        <v>2280000</v>
      </c>
      <c r="D25" s="52" t="s">
        <v>145</v>
      </c>
    </row>
    <row r="26" customFormat="false" ht="15" hidden="false" customHeight="false" outlineLevel="0" collapsed="false">
      <c r="A26" s="32" t="s">
        <v>146</v>
      </c>
      <c r="B26" s="33" t="n">
        <f aca="false">SUM(B17:B25)</f>
        <v>1053000</v>
      </c>
      <c r="C26" s="33" t="n">
        <f aca="false">SUM(C17:C25)</f>
        <v>52847000</v>
      </c>
      <c r="D26" s="53"/>
    </row>
    <row r="28" customFormat="false" ht="15" hidden="false" customHeight="false" outlineLevel="0" collapsed="false">
      <c r="A28" s="3" t="s">
        <v>147</v>
      </c>
      <c r="B28" s="3"/>
      <c r="C28" s="3"/>
      <c r="D28" s="3"/>
    </row>
    <row r="29" customFormat="false" ht="48" hidden="false" customHeight="true" outlineLevel="0" collapsed="false">
      <c r="A29" s="54" t="s">
        <v>148</v>
      </c>
      <c r="B29" s="54"/>
      <c r="C29" s="54"/>
      <c r="D29" s="54"/>
    </row>
  </sheetData>
  <mergeCells count="5">
    <mergeCell ref="A1:D1"/>
    <mergeCell ref="A3:D3"/>
    <mergeCell ref="A16:D16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2026-02-18T16:33:50Z</dcterms:created>
  <dc:creator>openpyxl</dc:creator>
  <dc:description/>
  <dc:language>en-US</dc:language>
  <cp:lastModifiedBy/>
  <dcterms:modified xsi:type="dcterms:W3CDTF">2026-02-18T16:33:50Z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