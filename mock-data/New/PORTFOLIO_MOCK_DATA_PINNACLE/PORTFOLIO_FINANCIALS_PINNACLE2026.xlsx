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Summary" sheetId="1" state="visible" r:id="rId3"/>
    <sheet name="P&amp;L by Project" sheetId="2" state="visible" r:id="rId4"/>
    <sheet name="WIP Schedule" sheetId="3" state="visible" r:id="rId5"/>
    <sheet name="Balance Sheet" sheetId="4" state="visible" r:id="rId6"/>
    <sheet name="YTD P&amp;L (Jan 2026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<sst xmlns="http://schemas.openxmlformats.org/spreadsheetml/2006/main" count="202" uniqueCount="179">
  <si>
    <t xml:space="preserve">PINNACLE BUILDS LLC — Portfolio Financial Summary</t>
  </si>
  <si>
    <t xml:space="preserve">Five Active Projects — As of January 31, 2026</t>
  </si>
  <si>
    <t xml:space="preserve">Project</t>
  </si>
  <si>
    <t xml:space="preserve">Contract Value</t>
  </si>
  <si>
    <t xml:space="preserve">% Complete</t>
  </si>
  <si>
    <t xml:space="preserve">Revenue Earned</t>
  </si>
  <si>
    <t xml:space="preserve">Costs PTD</t>
  </si>
  <si>
    <t xml:space="preserve">Gross Profit</t>
  </si>
  <si>
    <t xml:space="preserve">Gross Margin</t>
  </si>
  <si>
    <t xml:space="preserve">MRN — The Meridian at River North
Chicago, IL  |  Mixed-Use High-Rise  |  Active</t>
  </si>
  <si>
    <t xml:space="preserve">SDM — St. Dominic Medical Center Expansion
Austin, TX  |  Healthcare / Hospital  |  Active</t>
  </si>
  <si>
    <t xml:space="preserve">PRC — Paladin Resort &amp; Casino
Las Vegas, NV  |  Casino Resort  |  Preconstruction</t>
  </si>
  <si>
    <t xml:space="preserve">MSL — Mid-South Logistics Park - Bldg 2
Memphis, TN  |  Industrial / Distribution  |  Closeout</t>
  </si>
  <si>
    <t xml:space="preserve">DSR — Denver SW Recreation &amp; Aquatics Center
Denver, CO  |  Municipal / Recreation  |  Active</t>
  </si>
  <si>
    <t xml:space="preserve">PORTFOLIO TOTAL</t>
  </si>
  <si>
    <t xml:space="preserve">PORTFOLIO KEY METRICS — WIP STATUS</t>
  </si>
  <si>
    <t xml:space="preserve">Total Billed</t>
  </si>
  <si>
    <t xml:space="preserve">Retainage Held</t>
  </si>
  <si>
    <t xml:space="preserve">BIE (Over) / CIE (Under)</t>
  </si>
  <si>
    <t xml:space="preserve">Cash Collected</t>
  </si>
  <si>
    <t xml:space="preserve">Open AR</t>
  </si>
  <si>
    <t xml:space="preserve">Project Status</t>
  </si>
  <si>
    <t xml:space="preserve">MRN — The Meridian at River North</t>
  </si>
  <si>
    <t xml:space="preserve">Active</t>
  </si>
  <si>
    <t xml:space="preserve">SDM — St. Dominic Medical Center Expansion</t>
  </si>
  <si>
    <t xml:space="preserve">PRC — Paladin Resort &amp; Casino</t>
  </si>
  <si>
    <t xml:space="preserve">Preconstruction</t>
  </si>
  <si>
    <t xml:space="preserve">MSL — Mid-South Logistics Park - Bldg 2</t>
  </si>
  <si>
    <t xml:space="preserve">Closeout</t>
  </si>
  <si>
    <t xml:space="preserve">DSR — Denver SW Recreation &amp; Aquatics Center</t>
  </si>
  <si>
    <t xml:space="preserve">PORTFOLIO TOTALS</t>
  </si>
  <si>
    <t xml:space="preserve">PORTFOLIO NOTES</t>
  </si>
  <si>
    <t xml:space="preserve">  • BIE = Billings in Excess of Costs (Overbilling) — Current Liability on Balance Sheet.</t>
  </si>
  <si>
    <t xml:space="preserve">  • CIE = Costs in Excess of Billings (Underbilling) — Current Asset on Balance Sheet.</t>
  </si>
  <si>
    <t xml:space="preserve">  • MRN Chicago: Large BIE ($15.3M) reflects aggressive front-loaded billing schedule typical for high-rise residential.</t>
  </si>
  <si>
    <t xml:space="preserve">  • SDM Austin: BIE ($12.4M) reflects GMP with early mobilization and preconstruction billing on healthcare project.</t>
  </si>
  <si>
    <t xml:space="preserve">  • PRC Las Vegas: BIE = $0 — preconstruction services billed equals earned. GMP not yet established.</t>
  </si>
  <si>
    <t xml:space="preserve">  • MSL Memphis: CIE ($608K) — final retainage punchlist work earned ahead of final billing. Closeout phase.</t>
  </si>
  <si>
    <t xml:space="preserve">  • DSR Denver: CIE ($1.66M) — design-build with design fees earned ahead of billing. 5% retainage (public project).</t>
  </si>
  <si>
    <t xml:space="preserve">  • Revenue Recognition: Percentage-of-Completion method (ASC 606) applied to all projects.</t>
  </si>
  <si>
    <t xml:space="preserve">  • YTD figures shown in the P&amp;L tab reflect January 2026 activity only across all 5 projects.</t>
  </si>
  <si>
    <t xml:space="preserve">  • Colorado prevailing wage (Little Davis-Bacon Act) applies to DSR Denver per City and County of Denver contract.</t>
  </si>
  <si>
    <t xml:space="preserve">PINNACLE BUILDS LLC — Consolidated P&amp;L by Project</t>
  </si>
  <si>
    <t xml:space="preserve">Project-to-Date (PTD) figures as of January 31, 2026  |  Revenue recognized via % of completion (ASC 606)</t>
  </si>
  <si>
    <t xml:space="preserve">Revenue &amp; Cost Category</t>
  </si>
  <si>
    <t xml:space="preserve">MRN
Chicago IL
Mixed-Use</t>
  </si>
  <si>
    <t xml:space="preserve">SDM
Austin TX
Healthcare</t>
  </si>
  <si>
    <t xml:space="preserve">PRC
Las Vegas NV
Casino</t>
  </si>
  <si>
    <t xml:space="preserve">MSL
Memphis TN
Industrial</t>
  </si>
  <si>
    <t xml:space="preserve">DSR
Denver CO
Municipal</t>
  </si>
  <si>
    <t xml:space="preserve">PORTFOLIO
TOTAL</t>
  </si>
  <si>
    <t xml:space="preserve">PTD thru Jan 2026</t>
  </si>
  <si>
    <t xml:space="preserve">PTD TOTAL</t>
  </si>
  <si>
    <t xml:space="preserve">REVENUE (% of Completion)</t>
  </si>
  <si>
    <t xml:space="preserve">Contract Revenue — Earned PTD</t>
  </si>
  <si>
    <t xml:space="preserve">  % Complete</t>
  </si>
  <si>
    <t xml:space="preserve">Change Orders (Approved) — Included Above</t>
  </si>
  <si>
    <t xml:space="preserve">—</t>
  </si>
  <si>
    <t xml:space="preserve">TOTAL REVENUE EARNED</t>
  </si>
  <si>
    <t xml:space="preserve">DIRECT COSTS (COST OF REVENUE)</t>
  </si>
  <si>
    <t xml:space="preserve">Direct Labor (Field Self-Perform)</t>
  </si>
  <si>
    <t xml:space="preserve">Subcontractor Costs</t>
  </si>
  <si>
    <t xml:space="preserve">Materials &amp; Supplies</t>
  </si>
  <si>
    <t xml:space="preserve">Equipment Costs</t>
  </si>
  <si>
    <t xml:space="preserve">Specialty Systems (Project-Specific)</t>
  </si>
  <si>
    <t xml:space="preserve">Other Direct Costs (Permits, Testing, Commissioning)</t>
  </si>
  <si>
    <t xml:space="preserve">TOTAL DIRECT COSTS</t>
  </si>
  <si>
    <t xml:space="preserve">GROSS PROFIT</t>
  </si>
  <si>
    <t xml:space="preserve">  Gross Margin %</t>
  </si>
  <si>
    <t xml:space="preserve">GENERAL &amp; ADMINISTRATIVE EXPENSES (Company-Wide Allocation)</t>
  </si>
  <si>
    <t xml:space="preserve">Project Management Salaries (PM, Super, PE)</t>
  </si>
  <si>
    <t xml:space="preserve">G&amp;A Overhead &amp; Corporate</t>
  </si>
  <si>
    <t xml:space="preserve">Insurance (GL, Umbrella, WC Premiums)</t>
  </si>
  <si>
    <t xml:space="preserve">Bonds (Performance &amp; Payment)</t>
  </si>
  <si>
    <t xml:space="preserve">Depreciation — Equipment</t>
  </si>
  <si>
    <t xml:space="preserve">Professional Fees</t>
  </si>
  <si>
    <t xml:space="preserve">Marketing &amp; Business Development</t>
  </si>
  <si>
    <t xml:space="preserve">Office &amp; Facilities</t>
  </si>
  <si>
    <t xml:space="preserve">IT &amp; Software</t>
  </si>
  <si>
    <t xml:space="preserve">Vehicle &amp; Travel</t>
  </si>
  <si>
    <t xml:space="preserve">Miscellaneous G&amp;A</t>
  </si>
  <si>
    <t xml:space="preserve">TOTAL G&amp;A EXPENSES</t>
  </si>
  <si>
    <t xml:space="preserve">OPERATING INCOME (EBIT)</t>
  </si>
  <si>
    <t xml:space="preserve">OTHER INCOME / (EXPENSE)</t>
  </si>
  <si>
    <t xml:space="preserve">Interest Expense</t>
  </si>
  <si>
    <t xml:space="preserve">Other Income (Equipment Rental, Misc.)</t>
  </si>
  <si>
    <t xml:space="preserve">NET INCOME</t>
  </si>
  <si>
    <t xml:space="preserve">  Net Margin %</t>
  </si>
  <si>
    <t xml:space="preserve">PINNACLE BUILDS LLC — Work-In-Progress (WIP) Schedule — All Projects</t>
  </si>
  <si>
    <t xml:space="preserve">As of January 31, 2026  |  Percentage-of-Completion Method (ASC 606)  |  BIE = Overbilling (Liability)  |  CIE = Underbilling (Asset)</t>
  </si>
  <si>
    <t xml:space="preserve">Project / Location</t>
  </si>
  <si>
    <t xml:space="preserve">Type</t>
  </si>
  <si>
    <t xml:space="preserve">Status</t>
  </si>
  <si>
    <t xml:space="preserve">Revised Contract</t>
  </si>
  <si>
    <t xml:space="preserve">Billed to Date</t>
  </si>
  <si>
    <t xml:space="preserve">BIE / (CIE)</t>
  </si>
  <si>
    <t xml:space="preserve">Retainage Recv</t>
  </si>
  <si>
    <t xml:space="preserve">Contract Backlog</t>
  </si>
  <si>
    <t xml:space="preserve">MRN — The Meridian at River North
  📍 Chicago, IL</t>
  </si>
  <si>
    <t xml:space="preserve">Mixed-Use High-Rise</t>
  </si>
  <si>
    <t xml:space="preserve">SDM — St. Dominic Medical Center Expansion
  📍 Austin, TX</t>
  </si>
  <si>
    <t xml:space="preserve">Healthcare / Hospital</t>
  </si>
  <si>
    <t xml:space="preserve">PRC — Paladin Resort &amp; Casino
  📍 Las Vegas, NV</t>
  </si>
  <si>
    <t xml:space="preserve">Casino Resort</t>
  </si>
  <si>
    <t xml:space="preserve">MSL — Mid-South Logistics Park - Bldg 2
  📍 Memphis, TN</t>
  </si>
  <si>
    <t xml:space="preserve">Industrial / Distribution</t>
  </si>
  <si>
    <t xml:space="preserve">DSR — Denver SW Recreation &amp; Aquatics Center
  📍 Denver, CO</t>
  </si>
  <si>
    <t xml:space="preserve">Municipal / Recreation</t>
  </si>
  <si>
    <t xml:space="preserve">WIP RECONCILIATION — BIE / CIE EXPLANATION</t>
  </si>
  <si>
    <t xml:space="preserve">BIE (Billings in Excess of Costs) = OVERBILLING — Current Liability on Balance Sheet. CIE (Costs in Excess of Billings) = UNDERBILLING — Current Asset on Balance Sheet.</t>
  </si>
  <si>
    <t xml:space="preserve">BIE $15,257,000</t>
  </si>
  <si>
    <t xml:space="preserve">High-rise lump sum — aggressive billing schedule, early draw structure with developer</t>
  </si>
  <si>
    <t xml:space="preserve">SDM — St. Dominic Medical Center</t>
  </si>
  <si>
    <t xml:space="preserve">BIE $12,386,800</t>
  </si>
  <si>
    <t xml:space="preserve">GMP with front-loaded owner billing; health system draw schedule includes preconstruction fees</t>
  </si>
  <si>
    <t xml:space="preserve">Balanced $0</t>
  </si>
  <si>
    <t xml:space="preserve">Preconstruction services — billed equals earned; GMP not yet established</t>
  </si>
  <si>
    <t xml:space="preserve">MSL — Mid-South Logistics Park</t>
  </si>
  <si>
    <t xml:space="preserve">CIE $(608,300)</t>
  </si>
  <si>
    <t xml:space="preserve">Closeout phase — earned revenue slightly ahead of final billing on warranty/punchlist items</t>
  </si>
  <si>
    <t xml:space="preserve">DSR — Denver SW Recreation</t>
  </si>
  <si>
    <t xml:space="preserve">CIE $(1,663,550)</t>
  </si>
  <si>
    <t xml:space="preserve">Design-build — design fees earned faster than construction billing; 5% retainage (public project)</t>
  </si>
  <si>
    <t xml:space="preserve">PINNACLE BUILDS LLC — Consolidated Balance Sheet</t>
  </si>
  <si>
    <t xml:space="preserve">As of January 31, 2026</t>
  </si>
  <si>
    <t xml:space="preserve">Reflects all five active projects: MRN • SDM • PRC • MSL • DSR</t>
  </si>
  <si>
    <t xml:space="preserve">ASSETS</t>
  </si>
  <si>
    <t xml:space="preserve">Amount ($)</t>
  </si>
  <si>
    <t xml:space="preserve">CURRENT ASSETS</t>
  </si>
  <si>
    <t xml:space="preserve">CURRENT LIABILITIES</t>
  </si>
  <si>
    <t xml:space="preserve">AP — Subcontractors (All Projects)</t>
  </si>
  <si>
    <t xml:space="preserve">AP — Materials &amp; Vendors</t>
  </si>
  <si>
    <t xml:space="preserve">Billings in Excess of Costs (BIE) — MRN + SDM</t>
  </si>
  <si>
    <t xml:space="preserve">Retainage Payable to Subcontractors</t>
  </si>
  <si>
    <t xml:space="preserve">Accrued Wages &amp; Benefits</t>
  </si>
  <si>
    <t xml:space="preserve">Accrued Taxes — Federal, State, Payroll</t>
  </si>
  <si>
    <t xml:space="preserve">Accrued G&amp;A Expenses</t>
  </si>
  <si>
    <t xml:space="preserve">Workers Comp Reserve</t>
  </si>
  <si>
    <t xml:space="preserve">TOTAL CURRENT LIABILITIES</t>
  </si>
  <si>
    <t xml:space="preserve">Costs in Excess of Billings (CIE) — DSR + MSL</t>
  </si>
  <si>
    <t xml:space="preserve">Prepaid Insurance, Bonds &amp; Deposits</t>
  </si>
  <si>
    <t xml:space="preserve">LONG-TERM LIABILITIES</t>
  </si>
  <si>
    <t xml:space="preserve">Notes Payable — Equipment Financing</t>
  </si>
  <si>
    <t xml:space="preserve">Lines of Credit — Equipment &amp; Operations</t>
  </si>
  <si>
    <t xml:space="preserve">Performance Bond Reserves</t>
  </si>
  <si>
    <t xml:space="preserve">TOTAL LONG-TERM LIABILITIES</t>
  </si>
  <si>
    <t xml:space="preserve">TOTAL LIABILITIES</t>
  </si>
  <si>
    <t xml:space="preserve">Less: Accumulated Depreciation</t>
  </si>
  <si>
    <t xml:space="preserve">Vehicles — At Cost</t>
  </si>
  <si>
    <t xml:space="preserve">STOCKHOLDERS' EQUITY</t>
  </si>
  <si>
    <t xml:space="preserve">Common Stock &amp; Paid-In Capital</t>
  </si>
  <si>
    <t xml:space="preserve">Retained Earnings — Prior Years</t>
  </si>
  <si>
    <t xml:space="preserve">Current Year Net Income (PTD thru Jan 2026)</t>
  </si>
  <si>
    <t xml:space="preserve">TOTAL STOCKHOLDERS' EQUITY</t>
  </si>
  <si>
    <t xml:space="preserve">TOTAL LIABILITIES &amp; EQUITY</t>
  </si>
  <si>
    <t xml:space="preserve">Goodwill &amp; Intangibles</t>
  </si>
  <si>
    <t xml:space="preserve">BALANCE CHECK  (Assets - L+E = $0):   =B31-D28</t>
  </si>
  <si>
    <t xml:space="preserve">TOTAL ASSETS</t>
  </si>
  <si>
    <t xml:space="preserve">PINNACLE BUILDS LLC — Year-to-Date P&amp;L (January 2026 Only)</t>
  </si>
  <si>
    <t xml:space="preserve">Single month — January 1–31, 2026  |  All amounts in USD</t>
  </si>
  <si>
    <t xml:space="preserve">Revenue / Cost Category</t>
  </si>
  <si>
    <t xml:space="preserve">MRN
Chicago</t>
  </si>
  <si>
    <t xml:space="preserve">SDM
Austin</t>
  </si>
  <si>
    <t xml:space="preserve">PRC
Las Vegas</t>
  </si>
  <si>
    <t xml:space="preserve">MSL
Memphis</t>
  </si>
  <si>
    <t xml:space="preserve">DSR
Denver</t>
  </si>
  <si>
    <t xml:space="preserve">JAN 2026
TOTAL</t>
  </si>
  <si>
    <t xml:space="preserve">REVENUE</t>
  </si>
  <si>
    <t xml:space="preserve">Contract Revenue — Earned (Jan)</t>
  </si>
  <si>
    <t xml:space="preserve">TOTAL YTD REVENUE</t>
  </si>
  <si>
    <t xml:space="preserve">DIRECT COSTS</t>
  </si>
  <si>
    <t xml:space="preserve">Total Direct Costs (Labor + Subs + Materials + Equipment)</t>
  </si>
  <si>
    <t xml:space="preserve">TOTAL YTD DIRECT COSTS</t>
  </si>
  <si>
    <t xml:space="preserve">YTD GROSS PROFIT</t>
  </si>
  <si>
    <t xml:space="preserve">GENERAL &amp; ADMINISTRATIVE (Monthly Allocation)</t>
  </si>
  <si>
    <t xml:space="preserve">G&amp;A Expenses — January 2026 (Allocated by Contract Value)</t>
  </si>
  <si>
    <t xml:space="preserve">Interest Expense — January 2026</t>
  </si>
  <si>
    <t xml:space="preserve">YTD NET INCOME (LOSS) — JANUARY 2026</t>
  </si>
  <si>
    <t xml:space="preserve">  YTD Net Margin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</si>
</sst>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.0%;\(0.0%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1A6B3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05621"/>
      <name val="Arial"/>
      <family val="0"/>
      <charset val="1"/>
    </font>
    <font>
      <b val="true"/>
      <sz val="9"/>
      <color rgb="FF1A6B3C"/>
      <name val="Arial"/>
      <family val="0"/>
      <charset val="1"/>
    </font>
    <font>
      <b val="true"/>
      <sz val="9"/>
      <color rgb="FF2563A0"/>
      <name val="Arial"/>
      <family val="0"/>
      <charset val="1"/>
    </font>
    <font>
      <b val="true"/>
      <sz val="9"/>
      <color rgb="FFC0562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C0562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4FC"/>
        <bgColor rgb="FFF2F2F2"/>
      </patternFill>
    </fill>
    <fill>
      <patternFill patternType="solid">
        <fgColor rgb="FF2563A0"/>
        <bgColor rgb="FF008080"/>
      </patternFill>
    </fill>
    <fill>
      <patternFill patternType="solid">
        <fgColor rgb="FFF2F2F2"/>
        <bgColor rgb="FFEBF4FC"/>
      </patternFill>
    </fill>
    <fill>
      <patternFill patternType="solid">
        <fgColor rgb="FFD0E4F4"/>
        <bgColor rgb="FFD4EDDA"/>
      </patternFill>
    </fill>
    <fill>
      <patternFill patternType="solid">
        <fgColor rgb="FFD4EDDA"/>
        <bgColor rgb="FFD0E4F4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2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30" fillId="7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4FC"/>
      <rgbColor rgb="FF660066"/>
      <rgbColor rgb="FFFF8080"/>
      <rgbColor rgb="FF2563A0"/>
      <rgbColor rgb="FFD0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5621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1.5" hidden="false" customHeight="true" outlineLevel="0" collapsed="false">
      <c r="A4" s="4" t="s">
        <v>9</v>
      </c>
      <c r="B4" s="5" t="n">
        <v>84220000</v>
      </c>
      <c r="C4" s="6" t="n">
        <v>0.65</v>
      </c>
      <c r="D4" s="5" t="n">
        <v>54743000</v>
      </c>
      <c r="E4" s="5" t="n">
        <v>50570000</v>
      </c>
      <c r="F4" s="7" t="n">
        <v>4173000</v>
      </c>
      <c r="G4" s="6" t="n">
        <v>0.0762289242460223</v>
      </c>
    </row>
    <row r="5" customFormat="false" ht="31.5" hidden="false" customHeight="true" outlineLevel="0" collapsed="false">
      <c r="A5" s="8" t="s">
        <v>10</v>
      </c>
      <c r="B5" s="9" t="n">
        <v>59690000</v>
      </c>
      <c r="C5" s="10" t="n">
        <v>0.28</v>
      </c>
      <c r="D5" s="9" t="n">
        <v>16713200</v>
      </c>
      <c r="E5" s="9" t="n">
        <v>15176000</v>
      </c>
      <c r="F5" s="11" t="n">
        <v>1537200</v>
      </c>
      <c r="G5" s="10" t="n">
        <v>0.0919752052270062</v>
      </c>
    </row>
    <row r="6" customFormat="false" ht="31.5" hidden="false" customHeight="true" outlineLevel="0" collapsed="false">
      <c r="A6" s="4" t="s">
        <v>11</v>
      </c>
      <c r="B6" s="5" t="n">
        <v>145000000</v>
      </c>
      <c r="C6" s="6" t="n">
        <v>0.04</v>
      </c>
      <c r="D6" s="5" t="n">
        <v>5800000</v>
      </c>
      <c r="E6" s="5" t="n">
        <v>5500000</v>
      </c>
      <c r="F6" s="7" t="n">
        <v>300000</v>
      </c>
      <c r="G6" s="6" t="n">
        <v>0.0517241379310345</v>
      </c>
    </row>
    <row r="7" customFormat="false" ht="31.5" hidden="false" customHeight="true" outlineLevel="0" collapsed="false">
      <c r="A7" s="8" t="s">
        <v>12</v>
      </c>
      <c r="B7" s="9" t="n">
        <v>39390000</v>
      </c>
      <c r="C7" s="10" t="n">
        <v>0.97</v>
      </c>
      <c r="D7" s="9" t="n">
        <v>38208300</v>
      </c>
      <c r="E7" s="9" t="n">
        <v>35308000</v>
      </c>
      <c r="F7" s="11" t="n">
        <v>2900300</v>
      </c>
      <c r="G7" s="10" t="n">
        <v>0.0759075907590759</v>
      </c>
    </row>
    <row r="8" customFormat="false" ht="31.5" hidden="false" customHeight="true" outlineLevel="0" collapsed="false">
      <c r="A8" s="4" t="s">
        <v>13</v>
      </c>
      <c r="B8" s="5" t="n">
        <v>24753000</v>
      </c>
      <c r="C8" s="6" t="n">
        <v>0.35</v>
      </c>
      <c r="D8" s="5" t="n">
        <v>8663550</v>
      </c>
      <c r="E8" s="5" t="n">
        <v>7980000</v>
      </c>
      <c r="F8" s="7" t="n">
        <v>683550</v>
      </c>
      <c r="G8" s="6" t="n">
        <v>0.0788995273300206</v>
      </c>
    </row>
    <row r="9" customFormat="false" ht="24" hidden="false" customHeight="true" outlineLevel="0" collapsed="false">
      <c r="A9" s="12" t="s">
        <v>14</v>
      </c>
      <c r="B9" s="13" t="n">
        <f aca="false">SUM(B4:B8)</f>
        <v>353053000</v>
      </c>
      <c r="C9" s="14" t="n">
        <f aca="false">SUMPRODUCT(B4:B8,C4:C8)/SUM(B4:B8)</f>
        <v>0.351584747899041</v>
      </c>
      <c r="D9" s="13" t="n">
        <f aca="false">SUM(D4:D8)</f>
        <v>124128050</v>
      </c>
      <c r="E9" s="13" t="n">
        <f aca="false">SUM(E4:E8)</f>
        <v>114534000</v>
      </c>
      <c r="F9" s="13" t="n">
        <f aca="false">SUM(F4:F8)</f>
        <v>9594050</v>
      </c>
      <c r="G9" s="14" t="n">
        <f aca="false">F9/D9</f>
        <v>0.0772915549708547</v>
      </c>
    </row>
    <row r="12" customFormat="false" ht="15" hidden="false" customHeight="false" outlineLevel="0" collapsed="false">
      <c r="A12" s="15" t="s">
        <v>15</v>
      </c>
      <c r="B12" s="15"/>
      <c r="C12" s="15"/>
      <c r="D12" s="15"/>
      <c r="E12" s="15"/>
      <c r="F12" s="15"/>
      <c r="G12" s="15"/>
    </row>
    <row r="13" customFormat="false" ht="27.75" hidden="false" customHeight="true" outlineLevel="0" collapsed="false">
      <c r="A13" s="3" t="s">
        <v>2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21</v>
      </c>
    </row>
    <row r="14" customFormat="false" ht="18" hidden="false" customHeight="true" outlineLevel="0" collapsed="false">
      <c r="A14" s="16" t="s">
        <v>22</v>
      </c>
      <c r="B14" s="5" t="n">
        <v>70000000</v>
      </c>
      <c r="C14" s="5" t="n">
        <v>7000000</v>
      </c>
      <c r="D14" s="17" t="n">
        <v>15257000</v>
      </c>
      <c r="E14" s="5" t="n">
        <v>57600000</v>
      </c>
      <c r="F14" s="5" t="n">
        <v>5400000</v>
      </c>
      <c r="G14" s="18" t="s">
        <v>23</v>
      </c>
    </row>
    <row r="15" customFormat="false" ht="18" hidden="false" customHeight="true" outlineLevel="0" collapsed="false">
      <c r="A15" s="19" t="s">
        <v>24</v>
      </c>
      <c r="B15" s="9" t="n">
        <v>29100000</v>
      </c>
      <c r="C15" s="9" t="n">
        <v>2910000</v>
      </c>
      <c r="D15" s="20" t="n">
        <v>12386800</v>
      </c>
      <c r="E15" s="9" t="n">
        <v>22990000</v>
      </c>
      <c r="F15" s="9" t="n">
        <v>3200000</v>
      </c>
      <c r="G15" s="21" t="s">
        <v>23</v>
      </c>
    </row>
    <row r="16" customFormat="false" ht="18" hidden="false" customHeight="true" outlineLevel="0" collapsed="false">
      <c r="A16" s="16" t="s">
        <v>25</v>
      </c>
      <c r="B16" s="5" t="n">
        <v>5800000</v>
      </c>
      <c r="C16" s="5" t="n">
        <v>580000</v>
      </c>
      <c r="D16" s="7" t="n">
        <v>0</v>
      </c>
      <c r="E16" s="5" t="n">
        <v>5220000</v>
      </c>
      <c r="F16" s="5" t="n">
        <v>0</v>
      </c>
      <c r="G16" s="22" t="s">
        <v>26</v>
      </c>
    </row>
    <row r="17" customFormat="false" ht="18" hidden="false" customHeight="true" outlineLevel="0" collapsed="false">
      <c r="A17" s="19" t="s">
        <v>27</v>
      </c>
      <c r="B17" s="9" t="n">
        <v>37600000</v>
      </c>
      <c r="C17" s="9" t="n">
        <v>3760000</v>
      </c>
      <c r="D17" s="11" t="n">
        <v>-608300</v>
      </c>
      <c r="E17" s="9" t="n">
        <v>32840000</v>
      </c>
      <c r="F17" s="9" t="n">
        <v>1000000</v>
      </c>
      <c r="G17" s="23" t="s">
        <v>28</v>
      </c>
    </row>
    <row r="18" customFormat="false" ht="18" hidden="false" customHeight="true" outlineLevel="0" collapsed="false">
      <c r="A18" s="16" t="s">
        <v>29</v>
      </c>
      <c r="B18" s="5" t="n">
        <v>7000000</v>
      </c>
      <c r="C18" s="5" t="n">
        <v>350000</v>
      </c>
      <c r="D18" s="7" t="n">
        <v>-1663550</v>
      </c>
      <c r="E18" s="5" t="n">
        <v>4200000</v>
      </c>
      <c r="F18" s="5" t="n">
        <v>2450000</v>
      </c>
      <c r="G18" s="18" t="s">
        <v>23</v>
      </c>
    </row>
    <row r="19" customFormat="false" ht="15" hidden="false" customHeight="false" outlineLevel="0" collapsed="false">
      <c r="A19" s="24" t="s">
        <v>30</v>
      </c>
      <c r="B19" s="25" t="n">
        <f aca="false">SUM(B14:B18)</f>
        <v>149500000</v>
      </c>
      <c r="C19" s="25" t="n">
        <f aca="false">SUM(C14:C18)</f>
        <v>14600000</v>
      </c>
      <c r="D19" s="25" t="n">
        <f aca="false">SUM(D14:D18)</f>
        <v>25371950</v>
      </c>
      <c r="E19" s="25" t="n">
        <f aca="false">SUM(E14:E18)</f>
        <v>122850000</v>
      </c>
      <c r="F19" s="25" t="n">
        <f aca="false">SUM(F14:F18)</f>
        <v>12050000</v>
      </c>
      <c r="G19" s="26"/>
    </row>
    <row r="22" customFormat="false" ht="15" hidden="false" customHeight="false" outlineLevel="0" collapsed="false">
      <c r="A22" s="15" t="s">
        <v>31</v>
      </c>
      <c r="B22" s="15"/>
      <c r="C22" s="15"/>
      <c r="D22" s="15"/>
      <c r="E22" s="15"/>
      <c r="F22" s="15"/>
      <c r="G22" s="15"/>
    </row>
    <row r="23" customFormat="false" ht="13.5" hidden="false" customHeight="true" outlineLevel="0" collapsed="false">
      <c r="A23" s="27" t="s">
        <v>32</v>
      </c>
      <c r="B23" s="27"/>
      <c r="C23" s="27"/>
      <c r="D23" s="27"/>
      <c r="E23" s="27"/>
      <c r="F23" s="27"/>
      <c r="G23" s="27"/>
    </row>
    <row r="24" customFormat="false" ht="13.5" hidden="false" customHeight="true" outlineLevel="0" collapsed="false">
      <c r="A24" s="27" t="s">
        <v>33</v>
      </c>
      <c r="B24" s="27"/>
      <c r="C24" s="27"/>
      <c r="D24" s="27"/>
      <c r="E24" s="27"/>
      <c r="F24" s="27"/>
      <c r="G24" s="27"/>
    </row>
    <row r="25" customFormat="false" ht="13.5" hidden="false" customHeight="true" outlineLevel="0" collapsed="false">
      <c r="A25" s="27" t="s">
        <v>34</v>
      </c>
      <c r="B25" s="27"/>
      <c r="C25" s="27"/>
      <c r="D25" s="27"/>
      <c r="E25" s="27"/>
      <c r="F25" s="27"/>
      <c r="G25" s="27"/>
    </row>
    <row r="26" customFormat="false" ht="13.5" hidden="false" customHeight="true" outlineLevel="0" collapsed="false">
      <c r="A26" s="27" t="s">
        <v>35</v>
      </c>
      <c r="B26" s="27"/>
      <c r="C26" s="27"/>
      <c r="D26" s="27"/>
      <c r="E26" s="27"/>
      <c r="F26" s="27"/>
      <c r="G26" s="27"/>
    </row>
    <row r="27" customFormat="false" ht="13.5" hidden="false" customHeight="true" outlineLevel="0" collapsed="false">
      <c r="A27" s="27" t="s">
        <v>36</v>
      </c>
      <c r="B27" s="27"/>
      <c r="C27" s="27"/>
      <c r="D27" s="27"/>
      <c r="E27" s="27"/>
      <c r="F27" s="27"/>
      <c r="G27" s="27"/>
    </row>
    <row r="28" customFormat="false" ht="13.5" hidden="false" customHeight="true" outlineLevel="0" collapsed="false">
      <c r="A28" s="27" t="s">
        <v>37</v>
      </c>
      <c r="B28" s="27"/>
      <c r="C28" s="27"/>
      <c r="D28" s="27"/>
      <c r="E28" s="27"/>
      <c r="F28" s="27"/>
      <c r="G28" s="27"/>
    </row>
    <row r="29" customFormat="false" ht="13.5" hidden="false" customHeight="true" outlineLevel="0" collapsed="false">
      <c r="A29" s="27" t="s">
        <v>38</v>
      </c>
      <c r="B29" s="27"/>
      <c r="C29" s="27"/>
      <c r="D29" s="27"/>
      <c r="E29" s="27"/>
      <c r="F29" s="27"/>
      <c r="G29" s="27"/>
    </row>
    <row r="30" customFormat="false" ht="13.5" hidden="false" customHeight="true" outlineLevel="0" collapsed="false">
      <c r="A30" s="27" t="s">
        <v>39</v>
      </c>
      <c r="B30" s="27"/>
      <c r="C30" s="27"/>
      <c r="D30" s="27"/>
      <c r="E30" s="27"/>
      <c r="F30" s="27"/>
      <c r="G30" s="27"/>
    </row>
    <row r="31" customFormat="false" ht="13.5" hidden="false" customHeight="true" outlineLevel="0" collapsed="false">
      <c r="A31" s="27" t="s">
        <v>40</v>
      </c>
      <c r="B31" s="27"/>
      <c r="C31" s="27"/>
      <c r="D31" s="27"/>
      <c r="E31" s="27"/>
      <c r="F31" s="27"/>
      <c r="G31" s="27"/>
    </row>
    <row r="32" customFormat="false" ht="13.5" hidden="false" customHeight="true" outlineLevel="0" collapsed="false">
      <c r="A32" s="27" t="s">
        <v>41</v>
      </c>
      <c r="B32" s="27"/>
      <c r="C32" s="27"/>
      <c r="D32" s="27"/>
      <c r="E32" s="27"/>
      <c r="F32" s="27"/>
      <c r="G32" s="27"/>
    </row>
  </sheetData>
  <mergeCells count="14">
    <mergeCell ref="A1:G1"/>
    <mergeCell ref="A2:G2"/>
    <mergeCell ref="A12:G12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6"/>
  </cols>
  <sheetData>
    <row r="1" customFormat="false" ht="24" hidden="false" customHeight="true" outlineLevel="0" collapsed="false">
      <c r="A1" s="28" t="s">
        <v>42</v>
      </c>
      <c r="B1" s="28"/>
      <c r="C1" s="28"/>
      <c r="D1" s="28"/>
      <c r="E1" s="28"/>
      <c r="F1" s="28"/>
      <c r="G1" s="28"/>
    </row>
    <row r="2" customFormat="false" ht="15" hidden="false" customHeight="false" outlineLevel="0" collapsed="false">
      <c r="A2" s="29" t="s">
        <v>43</v>
      </c>
      <c r="B2" s="29"/>
      <c r="C2" s="29"/>
      <c r="D2" s="29"/>
      <c r="E2" s="29"/>
      <c r="F2" s="29"/>
      <c r="G2" s="29"/>
    </row>
    <row r="3" customFormat="false" ht="42" hidden="false" customHeight="true" outlineLevel="0" collapsed="false">
      <c r="A3" s="30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1" t="s">
        <v>50</v>
      </c>
    </row>
    <row r="4" customFormat="false" ht="15.75" hidden="false" customHeight="true" outlineLevel="0" collapsed="false">
      <c r="A4" s="32"/>
      <c r="B4" s="33" t="s">
        <v>51</v>
      </c>
      <c r="C4" s="33" t="s">
        <v>51</v>
      </c>
      <c r="D4" s="33" t="s">
        <v>51</v>
      </c>
      <c r="E4" s="33" t="s">
        <v>51</v>
      </c>
      <c r="F4" s="33" t="s">
        <v>51</v>
      </c>
      <c r="G4" s="33" t="s">
        <v>52</v>
      </c>
    </row>
    <row r="5" customFormat="false" ht="15" hidden="false" customHeight="false" outlineLevel="0" collapsed="false">
      <c r="A5" s="15" t="s">
        <v>53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34" t="s">
        <v>54</v>
      </c>
      <c r="B6" s="35" t="n">
        <v>54743000</v>
      </c>
      <c r="C6" s="35" t="n">
        <v>16713200</v>
      </c>
      <c r="D6" s="35" t="n">
        <v>5800000</v>
      </c>
      <c r="E6" s="35" t="n">
        <v>38208300</v>
      </c>
      <c r="F6" s="35" t="n">
        <v>8663550</v>
      </c>
      <c r="G6" s="9" t="n">
        <f aca="false">SUM(B6:F6)</f>
        <v>124128050</v>
      </c>
    </row>
    <row r="7" customFormat="false" ht="15" hidden="false" customHeight="false" outlineLevel="0" collapsed="false">
      <c r="A7" s="36" t="s">
        <v>55</v>
      </c>
      <c r="B7" s="37" t="n">
        <v>0.65</v>
      </c>
      <c r="C7" s="37" t="n">
        <v>0.28</v>
      </c>
      <c r="D7" s="37" t="n">
        <v>0.04</v>
      </c>
      <c r="E7" s="37" t="n">
        <v>0.97</v>
      </c>
      <c r="F7" s="37" t="n">
        <v>0.35</v>
      </c>
    </row>
    <row r="8" customFormat="false" ht="15" hidden="false" customHeight="false" outlineLevel="0" collapsed="false">
      <c r="A8" s="34" t="s">
        <v>56</v>
      </c>
      <c r="B8" s="9" t="s">
        <v>57</v>
      </c>
      <c r="C8" s="9" t="s">
        <v>57</v>
      </c>
      <c r="D8" s="9" t="s">
        <v>57</v>
      </c>
      <c r="E8" s="9" t="s">
        <v>57</v>
      </c>
      <c r="F8" s="9" t="s">
        <v>57</v>
      </c>
      <c r="G8" s="9" t="s">
        <v>57</v>
      </c>
    </row>
    <row r="9" customFormat="false" ht="15" hidden="false" customHeight="false" outlineLevel="0" collapsed="false">
      <c r="A9" s="38" t="s">
        <v>58</v>
      </c>
      <c r="B9" s="39" t="n">
        <f aca="false">SUM(B6:B8)</f>
        <v>54743000.65</v>
      </c>
      <c r="C9" s="39" t="n">
        <f aca="false">SUM(C6:C8)</f>
        <v>16713200.28</v>
      </c>
      <c r="D9" s="39" t="n">
        <f aca="false">SUM(D6:D8)</f>
        <v>5800000.04</v>
      </c>
      <c r="E9" s="39" t="n">
        <f aca="false">SUM(E6:E8)</f>
        <v>38208300.97</v>
      </c>
      <c r="F9" s="39" t="n">
        <f aca="false">SUM(F6:F8)</f>
        <v>8663550.35</v>
      </c>
      <c r="G9" s="39" t="n">
        <f aca="false">SUM(G6:G8)</f>
        <v>124128050</v>
      </c>
    </row>
    <row r="11" customFormat="false" ht="15" hidden="false" customHeight="false" outlineLevel="0" collapsed="false">
      <c r="A11" s="15" t="s">
        <v>59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34" t="s">
        <v>60</v>
      </c>
      <c r="B12" s="35" t="n">
        <v>4753580</v>
      </c>
      <c r="C12" s="35" t="n">
        <v>1426544</v>
      </c>
      <c r="D12" s="35" t="n">
        <v>517000</v>
      </c>
      <c r="E12" s="35" t="n">
        <v>3318952</v>
      </c>
      <c r="F12" s="35" t="n">
        <v>750120</v>
      </c>
      <c r="G12" s="9" t="n">
        <f aca="false">SUM(B12:F12)</f>
        <v>10766196</v>
      </c>
    </row>
    <row r="13" customFormat="false" ht="15" hidden="false" customHeight="false" outlineLevel="0" collapsed="false">
      <c r="A13" s="34" t="s">
        <v>61</v>
      </c>
      <c r="B13" s="35" t="n">
        <v>36916100</v>
      </c>
      <c r="C13" s="35" t="n">
        <v>11078480</v>
      </c>
      <c r="D13" s="35" t="n">
        <v>4015000</v>
      </c>
      <c r="E13" s="35" t="n">
        <v>25774840</v>
      </c>
      <c r="F13" s="35" t="n">
        <v>5825400</v>
      </c>
      <c r="G13" s="9" t="n">
        <f aca="false">SUM(B13:F13)</f>
        <v>83609820</v>
      </c>
    </row>
    <row r="14" customFormat="false" ht="15" hidden="false" customHeight="false" outlineLevel="0" collapsed="false">
      <c r="A14" s="34" t="s">
        <v>62</v>
      </c>
      <c r="B14" s="35" t="n">
        <v>2123940</v>
      </c>
      <c r="C14" s="35" t="n">
        <v>637392</v>
      </c>
      <c r="D14" s="35" t="n">
        <v>231000</v>
      </c>
      <c r="E14" s="35" t="n">
        <v>1482936</v>
      </c>
      <c r="F14" s="35" t="n">
        <v>335160</v>
      </c>
      <c r="G14" s="9" t="n">
        <f aca="false">SUM(B14:F14)</f>
        <v>4810428</v>
      </c>
    </row>
    <row r="15" customFormat="false" ht="15" hidden="false" customHeight="false" outlineLevel="0" collapsed="false">
      <c r="A15" s="34" t="s">
        <v>63</v>
      </c>
      <c r="B15" s="35" t="n">
        <v>657410</v>
      </c>
      <c r="C15" s="35" t="n">
        <v>197288</v>
      </c>
      <c r="D15" s="35" t="n">
        <v>71500</v>
      </c>
      <c r="E15" s="35" t="n">
        <v>459004</v>
      </c>
      <c r="F15" s="35" t="n">
        <v>103740</v>
      </c>
      <c r="G15" s="9" t="n">
        <f aca="false">SUM(B15:F15)</f>
        <v>1488942</v>
      </c>
    </row>
    <row r="16" customFormat="false" ht="15" hidden="false" customHeight="false" outlineLevel="0" collapsed="false">
      <c r="A16" s="34" t="s">
        <v>64</v>
      </c>
      <c r="B16" s="35" t="n">
        <v>4652440</v>
      </c>
      <c r="C16" s="35" t="n">
        <v>1396192</v>
      </c>
      <c r="D16" s="35" t="n">
        <v>506000</v>
      </c>
      <c r="E16" s="35" t="n">
        <v>3248336</v>
      </c>
      <c r="F16" s="35" t="n">
        <v>734160</v>
      </c>
      <c r="G16" s="9" t="n">
        <f aca="false">SUM(B16:F16)</f>
        <v>10537128</v>
      </c>
    </row>
    <row r="17" customFormat="false" ht="15" hidden="false" customHeight="false" outlineLevel="0" collapsed="false">
      <c r="A17" s="34" t="s">
        <v>65</v>
      </c>
      <c r="B17" s="35" t="n">
        <v>1466530</v>
      </c>
      <c r="C17" s="35" t="n">
        <v>440104</v>
      </c>
      <c r="D17" s="35" t="n">
        <v>159500</v>
      </c>
      <c r="E17" s="35" t="n">
        <v>1023932</v>
      </c>
      <c r="F17" s="35" t="n">
        <v>231420</v>
      </c>
      <c r="G17" s="9" t="n">
        <f aca="false">SUM(B17:F17)</f>
        <v>3321486</v>
      </c>
    </row>
    <row r="18" customFormat="false" ht="15" hidden="false" customHeight="false" outlineLevel="0" collapsed="false">
      <c r="A18" s="38" t="s">
        <v>66</v>
      </c>
      <c r="B18" s="39" t="n">
        <f aca="false">SUM(B12:B17)</f>
        <v>50570000</v>
      </c>
      <c r="C18" s="39" t="n">
        <f aca="false">SUM(C12:C17)</f>
        <v>15176000</v>
      </c>
      <c r="D18" s="39" t="n">
        <f aca="false">SUM(D12:D17)</f>
        <v>5500000</v>
      </c>
      <c r="E18" s="39" t="n">
        <f aca="false">SUM(E12:E17)</f>
        <v>35308000</v>
      </c>
      <c r="F18" s="39" t="n">
        <f aca="false">SUM(F12:F17)</f>
        <v>7980000</v>
      </c>
      <c r="G18" s="39" t="n">
        <f aca="false">SUM(G12:G17)</f>
        <v>114534000</v>
      </c>
    </row>
    <row r="19" customFormat="false" ht="15" hidden="false" customHeight="false" outlineLevel="0" collapsed="false">
      <c r="A19" s="40" t="s">
        <v>67</v>
      </c>
      <c r="B19" s="41" t="n">
        <f aca="false">B9-B18</f>
        <v>4173000.65</v>
      </c>
      <c r="C19" s="41" t="n">
        <f aca="false">C9-C18</f>
        <v>1537200.28</v>
      </c>
      <c r="D19" s="41" t="n">
        <f aca="false">D9-D18</f>
        <v>300000.04</v>
      </c>
      <c r="E19" s="41" t="n">
        <f aca="false">E9-E18</f>
        <v>2900300.97</v>
      </c>
      <c r="F19" s="41" t="n">
        <f aca="false">F9-F18</f>
        <v>683550.35</v>
      </c>
      <c r="G19" s="41" t="n">
        <f aca="false">G9-G18</f>
        <v>9594050</v>
      </c>
    </row>
    <row r="20" customFormat="false" ht="15" hidden="false" customHeight="false" outlineLevel="0" collapsed="false">
      <c r="A20" s="42" t="s">
        <v>68</v>
      </c>
      <c r="B20" s="43" t="n">
        <f aca="false">IF(B9=0,0,B19/B9)</f>
        <v>0.0762289352145697</v>
      </c>
      <c r="C20" s="43" t="n">
        <f aca="false">IF(C9=0,0,C19/C9)</f>
        <v>0.0919752204393496</v>
      </c>
      <c r="D20" s="43" t="n">
        <f aca="false">IF(D9=0,0,D19/D9)</f>
        <v>0.051724144470868</v>
      </c>
      <c r="E20" s="43" t="n">
        <f aca="false">IF(E9=0,0,E19/E9)</f>
        <v>0.0759076142191517</v>
      </c>
      <c r="F20" s="43" t="n">
        <f aca="false">IF(F9=0,0,F19/F9)</f>
        <v>0.0788995645416893</v>
      </c>
      <c r="G20" s="43" t="n">
        <f aca="false">IF(G9=0,0,G19/G9)</f>
        <v>0.0772915549708547</v>
      </c>
    </row>
    <row r="22" customFormat="false" ht="15" hidden="false" customHeight="false" outlineLevel="0" collapsed="false">
      <c r="A22" s="15" t="s">
        <v>69</v>
      </c>
      <c r="B22" s="15"/>
      <c r="C22" s="15"/>
      <c r="D22" s="15"/>
      <c r="E22" s="15"/>
      <c r="F22" s="15"/>
      <c r="G22" s="15"/>
    </row>
    <row r="23" customFormat="false" ht="15" hidden="false" customHeight="false" outlineLevel="0" collapsed="false">
      <c r="A23" s="34" t="s">
        <v>70</v>
      </c>
      <c r="B23" s="35" t="n">
        <v>930336</v>
      </c>
      <c r="C23" s="35" t="n">
        <v>659366</v>
      </c>
      <c r="D23" s="35" t="n">
        <v>1601743</v>
      </c>
      <c r="E23" s="35" t="n">
        <v>435122</v>
      </c>
      <c r="F23" s="35" t="n">
        <v>273434</v>
      </c>
      <c r="G23" s="9" t="n">
        <f aca="false">SUM(B23:F23)</f>
        <v>3900001</v>
      </c>
    </row>
    <row r="24" customFormat="false" ht="15" hidden="false" customHeight="false" outlineLevel="0" collapsed="false">
      <c r="A24" s="34" t="s">
        <v>71</v>
      </c>
      <c r="B24" s="35" t="n">
        <v>429386</v>
      </c>
      <c r="C24" s="35" t="n">
        <v>304323</v>
      </c>
      <c r="D24" s="35" t="n">
        <v>739266</v>
      </c>
      <c r="E24" s="35" t="n">
        <v>200825</v>
      </c>
      <c r="F24" s="35" t="n">
        <v>126200</v>
      </c>
      <c r="G24" s="9" t="n">
        <f aca="false">SUM(B24:F24)</f>
        <v>1800000</v>
      </c>
    </row>
    <row r="25" customFormat="false" ht="15" hidden="false" customHeight="false" outlineLevel="0" collapsed="false">
      <c r="A25" s="34" t="s">
        <v>72</v>
      </c>
      <c r="B25" s="35" t="n">
        <v>310112</v>
      </c>
      <c r="C25" s="35" t="n">
        <v>219789</v>
      </c>
      <c r="D25" s="35" t="n">
        <v>533914</v>
      </c>
      <c r="E25" s="35" t="n">
        <v>145041</v>
      </c>
      <c r="F25" s="35" t="n">
        <v>91145</v>
      </c>
      <c r="G25" s="9" t="n">
        <f aca="false">SUM(B25:F25)</f>
        <v>1300001</v>
      </c>
    </row>
    <row r="26" customFormat="false" ht="15" hidden="false" customHeight="false" outlineLevel="0" collapsed="false">
      <c r="A26" s="34" t="s">
        <v>73</v>
      </c>
      <c r="B26" s="35" t="n">
        <v>233777</v>
      </c>
      <c r="C26" s="35" t="n">
        <v>165687</v>
      </c>
      <c r="D26" s="35" t="n">
        <v>402489</v>
      </c>
      <c r="E26" s="35" t="n">
        <v>109338</v>
      </c>
      <c r="F26" s="35" t="n">
        <v>68709</v>
      </c>
      <c r="G26" s="9" t="n">
        <f aca="false">SUM(B26:F26)</f>
        <v>980000</v>
      </c>
    </row>
    <row r="27" customFormat="false" ht="15" hidden="false" customHeight="false" outlineLevel="0" collapsed="false">
      <c r="A27" s="34" t="s">
        <v>74</v>
      </c>
      <c r="B27" s="35" t="n">
        <v>147900</v>
      </c>
      <c r="C27" s="35" t="n">
        <v>104822</v>
      </c>
      <c r="D27" s="35" t="n">
        <v>254636</v>
      </c>
      <c r="E27" s="35" t="n">
        <v>69173</v>
      </c>
      <c r="F27" s="35" t="n">
        <v>43469</v>
      </c>
      <c r="G27" s="9" t="n">
        <f aca="false">SUM(B27:F27)</f>
        <v>620000</v>
      </c>
    </row>
    <row r="28" customFormat="false" ht="15" hidden="false" customHeight="false" outlineLevel="0" collapsed="false">
      <c r="A28" s="34" t="s">
        <v>75</v>
      </c>
      <c r="B28" s="35" t="n">
        <v>90648</v>
      </c>
      <c r="C28" s="35" t="n">
        <v>64246</v>
      </c>
      <c r="D28" s="35" t="n">
        <v>156067</v>
      </c>
      <c r="E28" s="35" t="n">
        <v>42396</v>
      </c>
      <c r="F28" s="35" t="n">
        <v>26642</v>
      </c>
      <c r="G28" s="9" t="n">
        <f aca="false">SUM(B28:F28)</f>
        <v>379999</v>
      </c>
    </row>
    <row r="29" customFormat="false" ht="15" hidden="false" customHeight="false" outlineLevel="0" collapsed="false">
      <c r="A29" s="34" t="s">
        <v>76</v>
      </c>
      <c r="B29" s="35" t="n">
        <v>42939</v>
      </c>
      <c r="C29" s="35" t="n">
        <v>30432</v>
      </c>
      <c r="D29" s="35" t="n">
        <v>73927</v>
      </c>
      <c r="E29" s="35" t="n">
        <v>20083</v>
      </c>
      <c r="F29" s="35" t="n">
        <v>12620</v>
      </c>
      <c r="G29" s="9" t="n">
        <f aca="false">SUM(B29:F29)</f>
        <v>180001</v>
      </c>
    </row>
    <row r="30" customFormat="false" ht="15" hidden="false" customHeight="false" outlineLevel="0" collapsed="false">
      <c r="A30" s="34" t="s">
        <v>77</v>
      </c>
      <c r="B30" s="35" t="n">
        <v>71564</v>
      </c>
      <c r="C30" s="35" t="n">
        <v>50720</v>
      </c>
      <c r="D30" s="35" t="n">
        <v>123211</v>
      </c>
      <c r="E30" s="35" t="n">
        <v>33471</v>
      </c>
      <c r="F30" s="35" t="n">
        <v>21033</v>
      </c>
      <c r="G30" s="9" t="n">
        <f aca="false">SUM(B30:F30)</f>
        <v>299999</v>
      </c>
    </row>
    <row r="31" customFormat="false" ht="15" hidden="false" customHeight="false" outlineLevel="0" collapsed="false">
      <c r="A31" s="34" t="s">
        <v>78</v>
      </c>
      <c r="B31" s="35" t="n">
        <v>26240</v>
      </c>
      <c r="C31" s="35" t="n">
        <v>18597</v>
      </c>
      <c r="D31" s="35" t="n">
        <v>45177</v>
      </c>
      <c r="E31" s="35" t="n">
        <v>12273</v>
      </c>
      <c r="F31" s="35" t="n">
        <v>7712</v>
      </c>
      <c r="G31" s="9" t="n">
        <f aca="false">SUM(B31:F31)</f>
        <v>109999</v>
      </c>
    </row>
    <row r="32" customFormat="false" ht="15" hidden="false" customHeight="false" outlineLevel="0" collapsed="false">
      <c r="A32" s="34" t="s">
        <v>79</v>
      </c>
      <c r="B32" s="35" t="n">
        <v>31011</v>
      </c>
      <c r="C32" s="35" t="n">
        <v>21979</v>
      </c>
      <c r="D32" s="35" t="n">
        <v>53391</v>
      </c>
      <c r="E32" s="35" t="n">
        <v>14504</v>
      </c>
      <c r="F32" s="35" t="n">
        <v>9114</v>
      </c>
      <c r="G32" s="9" t="n">
        <f aca="false">SUM(B32:F32)</f>
        <v>129999</v>
      </c>
    </row>
    <row r="33" customFormat="false" ht="15" hidden="false" customHeight="false" outlineLevel="0" collapsed="false">
      <c r="A33" s="34" t="s">
        <v>80</v>
      </c>
      <c r="B33" s="35" t="n">
        <v>23855</v>
      </c>
      <c r="C33" s="35" t="n">
        <v>16907</v>
      </c>
      <c r="D33" s="35" t="n">
        <v>41070</v>
      </c>
      <c r="E33" s="35" t="n">
        <v>11157</v>
      </c>
      <c r="F33" s="35" t="n">
        <v>7011</v>
      </c>
      <c r="G33" s="9" t="n">
        <f aca="false">SUM(B33:F33)</f>
        <v>100000</v>
      </c>
    </row>
    <row r="34" customFormat="false" ht="15" hidden="false" customHeight="false" outlineLevel="0" collapsed="false">
      <c r="A34" s="38" t="s">
        <v>81</v>
      </c>
      <c r="B34" s="39" t="n">
        <f aca="false">SUM(B23:B33)</f>
        <v>2337768</v>
      </c>
      <c r="C34" s="39" t="n">
        <f aca="false">SUM(C23:C33)</f>
        <v>1656868</v>
      </c>
      <c r="D34" s="39" t="n">
        <f aca="false">SUM(D23:D33)</f>
        <v>4024891</v>
      </c>
      <c r="E34" s="39" t="n">
        <f aca="false">SUM(E23:E33)</f>
        <v>1093383</v>
      </c>
      <c r="F34" s="39" t="n">
        <f aca="false">SUM(F23:F33)</f>
        <v>687089</v>
      </c>
      <c r="G34" s="39" t="n">
        <f aca="false">SUM(G23:G33)</f>
        <v>9799999</v>
      </c>
    </row>
    <row r="35" customFormat="false" ht="15" hidden="false" customHeight="false" outlineLevel="0" collapsed="false">
      <c r="A35" s="38" t="s">
        <v>82</v>
      </c>
      <c r="B35" s="39" t="n">
        <f aca="false">B19-B34</f>
        <v>1835232.65</v>
      </c>
      <c r="C35" s="39" t="n">
        <f aca="false">C19-C34</f>
        <v>-119667.720000001</v>
      </c>
      <c r="D35" s="39" t="n">
        <f aca="false">D19-D34</f>
        <v>-3724890.96</v>
      </c>
      <c r="E35" s="39" t="n">
        <f aca="false">E19-E34</f>
        <v>1806917.97</v>
      </c>
      <c r="F35" s="39" t="n">
        <f aca="false">F19-F34</f>
        <v>-3538.65000000037</v>
      </c>
      <c r="G35" s="39" t="n">
        <f aca="false">G19-G34</f>
        <v>-205949</v>
      </c>
    </row>
    <row r="37" customFormat="false" ht="15" hidden="false" customHeight="false" outlineLevel="0" collapsed="false">
      <c r="A37" s="15" t="s">
        <v>83</v>
      </c>
      <c r="B37" s="15"/>
      <c r="C37" s="15"/>
      <c r="D37" s="15"/>
      <c r="E37" s="15"/>
      <c r="F37" s="15"/>
      <c r="G37" s="15"/>
    </row>
    <row r="38" customFormat="false" ht="15" hidden="false" customHeight="false" outlineLevel="0" collapsed="false">
      <c r="A38" s="34" t="s">
        <v>84</v>
      </c>
      <c r="B38" s="35" t="n">
        <v>-22000</v>
      </c>
      <c r="C38" s="35" t="n">
        <v>-18000</v>
      </c>
      <c r="D38" s="35" t="n">
        <v>-5000</v>
      </c>
      <c r="E38" s="35" t="n">
        <v>-12000</v>
      </c>
      <c r="F38" s="35" t="n">
        <v>-8000</v>
      </c>
      <c r="G38" s="9" t="n">
        <f aca="false">SUM(B38:F38)</f>
        <v>-65000</v>
      </c>
    </row>
    <row r="39" customFormat="false" ht="15" hidden="false" customHeight="false" outlineLevel="0" collapsed="false">
      <c r="A39" s="34" t="s">
        <v>85</v>
      </c>
      <c r="B39" s="35" t="n">
        <v>0</v>
      </c>
      <c r="C39" s="35" t="n">
        <v>0</v>
      </c>
      <c r="D39" s="35" t="n">
        <v>12000</v>
      </c>
      <c r="E39" s="35" t="n">
        <v>8000</v>
      </c>
      <c r="F39" s="35" t="n">
        <v>0</v>
      </c>
      <c r="G39" s="9" t="n">
        <f aca="false">SUM(B39:F39)</f>
        <v>20000</v>
      </c>
    </row>
    <row r="41" customFormat="false" ht="15" hidden="false" customHeight="false" outlineLevel="0" collapsed="false">
      <c r="A41" s="44" t="s">
        <v>86</v>
      </c>
      <c r="B41" s="45" t="n">
        <f aca="false">B35+B38+B39</f>
        <v>1813232.65</v>
      </c>
      <c r="C41" s="45" t="n">
        <f aca="false">C35+C38+C39</f>
        <v>-137667.720000001</v>
      </c>
      <c r="D41" s="45" t="n">
        <f aca="false">D35+D38+D39</f>
        <v>-3717890.96</v>
      </c>
      <c r="E41" s="45" t="n">
        <f aca="false">E35+E38+E39</f>
        <v>1802917.97</v>
      </c>
      <c r="F41" s="45" t="n">
        <f aca="false">F35+F38+F39</f>
        <v>-11538.6500000004</v>
      </c>
      <c r="G41" s="45" t="n">
        <f aca="false">G35+G38+G39</f>
        <v>-250949</v>
      </c>
    </row>
    <row r="42" customFormat="false" ht="15" hidden="false" customHeight="false" outlineLevel="0" collapsed="false">
      <c r="A42" s="42" t="s">
        <v>87</v>
      </c>
      <c r="B42" s="43" t="n">
        <f aca="false">IF(B9=0,0,B41/B9)</f>
        <v>0.0331226390309315</v>
      </c>
      <c r="C42" s="43" t="n">
        <f aca="false">IF(C9=0,0,C41/C9)</f>
        <v>-0.00823706517564694</v>
      </c>
      <c r="D42" s="43" t="n">
        <f aca="false">IF(D9=0,0,D41/D9)</f>
        <v>-0.641015678337823</v>
      </c>
      <c r="E42" s="43" t="n">
        <f aca="false">IF(E9=0,0,E41/E9)</f>
        <v>0.0471865517238151</v>
      </c>
      <c r="F42" s="43" t="n">
        <f aca="false">IF(F9=0,0,F41/F9)</f>
        <v>-0.00133186159644128</v>
      </c>
      <c r="G42" s="46" t="n">
        <f aca="false">IF(G9=0,0,G41/G9)</f>
        <v>-0.00202169453238007</v>
      </c>
    </row>
  </sheetData>
  <mergeCells count="6">
    <mergeCell ref="A1:G1"/>
    <mergeCell ref="A2:G2"/>
    <mergeCell ref="A5:G5"/>
    <mergeCell ref="A11:G11"/>
    <mergeCell ref="A22:G22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0" min="2" style="0" width="14"/>
  </cols>
  <sheetData>
    <row r="1" customFormat="false" ht="21.75" hidden="false" customHeight="true" outlineLevel="0" collapsed="false">
      <c r="A1" s="47" t="s">
        <v>88</v>
      </c>
      <c r="B1" s="47"/>
      <c r="C1" s="47"/>
      <c r="D1" s="47"/>
      <c r="E1" s="47"/>
      <c r="F1" s="47"/>
      <c r="G1" s="47"/>
      <c r="H1" s="47"/>
      <c r="I1" s="47"/>
      <c r="J1" s="47"/>
    </row>
    <row r="2" customFormat="false" ht="15" hidden="false" customHeight="false" outlineLevel="0" collapsed="false">
      <c r="A2" s="29" t="s">
        <v>89</v>
      </c>
      <c r="B2" s="29"/>
      <c r="C2" s="29"/>
      <c r="D2" s="29"/>
      <c r="E2" s="29"/>
      <c r="F2" s="29"/>
      <c r="G2" s="29"/>
      <c r="H2" s="29"/>
      <c r="I2" s="29"/>
      <c r="J2" s="29"/>
    </row>
    <row r="3" customFormat="false" ht="30" hidden="false" customHeight="true" outlineLevel="0" collapsed="false">
      <c r="A3" s="48" t="s">
        <v>90</v>
      </c>
      <c r="B3" s="48" t="s">
        <v>91</v>
      </c>
      <c r="C3" s="48" t="s">
        <v>92</v>
      </c>
      <c r="D3" s="48" t="s">
        <v>93</v>
      </c>
      <c r="E3" s="48" t="s">
        <v>4</v>
      </c>
      <c r="F3" s="48" t="s">
        <v>5</v>
      </c>
      <c r="G3" s="48" t="s">
        <v>94</v>
      </c>
      <c r="H3" s="48" t="s">
        <v>95</v>
      </c>
      <c r="I3" s="48" t="s">
        <v>96</v>
      </c>
      <c r="J3" s="48" t="s">
        <v>97</v>
      </c>
    </row>
    <row r="4" customFormat="false" ht="27.75" hidden="false" customHeight="true" outlineLevel="0" collapsed="false">
      <c r="A4" s="4" t="s">
        <v>98</v>
      </c>
      <c r="B4" s="49" t="s">
        <v>99</v>
      </c>
      <c r="C4" s="50" t="s">
        <v>23</v>
      </c>
      <c r="D4" s="5" t="n">
        <v>84220000</v>
      </c>
      <c r="E4" s="6" t="n">
        <v>0.65</v>
      </c>
      <c r="F4" s="5" t="n">
        <v>54743000</v>
      </c>
      <c r="G4" s="5" t="n">
        <v>70000000</v>
      </c>
      <c r="H4" s="51" t="n">
        <v>15257000</v>
      </c>
      <c r="I4" s="5" t="n">
        <v>7000000</v>
      </c>
      <c r="J4" s="5" t="n">
        <v>29477000</v>
      </c>
    </row>
    <row r="5" customFormat="false" ht="27.75" hidden="false" customHeight="true" outlineLevel="0" collapsed="false">
      <c r="A5" s="8" t="s">
        <v>100</v>
      </c>
      <c r="B5" s="52" t="s">
        <v>101</v>
      </c>
      <c r="C5" s="53" t="s">
        <v>23</v>
      </c>
      <c r="D5" s="9" t="n">
        <v>59690000</v>
      </c>
      <c r="E5" s="10" t="n">
        <v>0.28</v>
      </c>
      <c r="F5" s="9" t="n">
        <v>16713200</v>
      </c>
      <c r="G5" s="9" t="n">
        <v>29100000</v>
      </c>
      <c r="H5" s="54" t="n">
        <v>12386800</v>
      </c>
      <c r="I5" s="9" t="n">
        <v>2910000</v>
      </c>
      <c r="J5" s="9" t="n">
        <v>42976800</v>
      </c>
    </row>
    <row r="6" customFormat="false" ht="27.75" hidden="false" customHeight="true" outlineLevel="0" collapsed="false">
      <c r="A6" s="4" t="s">
        <v>102</v>
      </c>
      <c r="B6" s="49" t="s">
        <v>103</v>
      </c>
      <c r="C6" s="55" t="s">
        <v>26</v>
      </c>
      <c r="D6" s="5" t="n">
        <v>145000000</v>
      </c>
      <c r="E6" s="6" t="n">
        <v>0.04</v>
      </c>
      <c r="F6" s="5" t="n">
        <v>5800000</v>
      </c>
      <c r="G6" s="5" t="n">
        <v>5800000</v>
      </c>
      <c r="H6" s="56" t="n">
        <v>0</v>
      </c>
      <c r="I6" s="5" t="n">
        <v>580000</v>
      </c>
      <c r="J6" s="5" t="n">
        <v>139200000</v>
      </c>
    </row>
    <row r="7" customFormat="false" ht="27.75" hidden="false" customHeight="true" outlineLevel="0" collapsed="false">
      <c r="A7" s="8" t="s">
        <v>104</v>
      </c>
      <c r="B7" s="52" t="s">
        <v>105</v>
      </c>
      <c r="C7" s="57" t="s">
        <v>28</v>
      </c>
      <c r="D7" s="9" t="n">
        <v>39390000</v>
      </c>
      <c r="E7" s="10" t="n">
        <v>0.97</v>
      </c>
      <c r="F7" s="9" t="n">
        <v>38208300</v>
      </c>
      <c r="G7" s="9" t="n">
        <v>37600000</v>
      </c>
      <c r="H7" s="58" t="n">
        <v>-608300</v>
      </c>
      <c r="I7" s="9" t="n">
        <v>3760000</v>
      </c>
      <c r="J7" s="9" t="n">
        <v>1181700</v>
      </c>
    </row>
    <row r="8" customFormat="false" ht="27.75" hidden="false" customHeight="true" outlineLevel="0" collapsed="false">
      <c r="A8" s="4" t="s">
        <v>106</v>
      </c>
      <c r="B8" s="49" t="s">
        <v>107</v>
      </c>
      <c r="C8" s="50" t="s">
        <v>23</v>
      </c>
      <c r="D8" s="5" t="n">
        <v>24753000</v>
      </c>
      <c r="E8" s="6" t="n">
        <v>0.35</v>
      </c>
      <c r="F8" s="5" t="n">
        <v>8663550</v>
      </c>
      <c r="G8" s="5" t="n">
        <v>7000000</v>
      </c>
      <c r="H8" s="59" t="n">
        <v>-1663550</v>
      </c>
      <c r="I8" s="5" t="n">
        <v>350000</v>
      </c>
      <c r="J8" s="5" t="n">
        <v>16089450</v>
      </c>
    </row>
    <row r="9" customFormat="false" ht="24" hidden="false" customHeight="true" outlineLevel="0" collapsed="false">
      <c r="A9" s="60" t="s">
        <v>14</v>
      </c>
      <c r="B9" s="26"/>
      <c r="C9" s="26"/>
      <c r="D9" s="61" t="n">
        <f aca="false">SUM(D4:D8)</f>
        <v>353053000</v>
      </c>
      <c r="E9" s="14" t="n">
        <f aca="false">SUMPRODUCT(D4:D8,E4:E8)/SUM(D4:D8)</f>
        <v>0.351584747899041</v>
      </c>
      <c r="F9" s="61" t="n">
        <f aca="false">SUM(F4:F8)</f>
        <v>124128050</v>
      </c>
      <c r="G9" s="61" t="n">
        <f aca="false">SUM(G4:G8)</f>
        <v>149500000</v>
      </c>
      <c r="H9" s="61" t="n">
        <f aca="false">SUM(H4:H8)</f>
        <v>25371950</v>
      </c>
      <c r="I9" s="61" t="n">
        <f aca="false">SUM(I4:I8)</f>
        <v>14600000</v>
      </c>
      <c r="J9" s="61" t="n">
        <f aca="false">SUM(J4:J8)</f>
        <v>228924950</v>
      </c>
    </row>
    <row r="12" customFormat="false" ht="15" hidden="false" customHeight="false" outlineLevel="0" collapsed="false">
      <c r="A12" s="15" t="s">
        <v>108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3.5" hidden="false" customHeight="true" outlineLevel="0" collapsed="false">
      <c r="A13" s="62" t="s">
        <v>109</v>
      </c>
      <c r="B13" s="62"/>
      <c r="C13" s="62"/>
      <c r="D13" s="62"/>
      <c r="E13" s="62"/>
      <c r="F13" s="62"/>
      <c r="G13" s="62"/>
      <c r="H13" s="62"/>
      <c r="I13" s="62"/>
      <c r="J13" s="62"/>
    </row>
    <row r="14" customFormat="false" ht="15.75" hidden="false" customHeight="true" outlineLevel="0" collapsed="false">
      <c r="A14" s="63" t="s">
        <v>22</v>
      </c>
      <c r="B14" s="63"/>
      <c r="C14" s="23" t="s">
        <v>110</v>
      </c>
      <c r="D14" s="64" t="s">
        <v>111</v>
      </c>
      <c r="E14" s="64"/>
      <c r="F14" s="64"/>
      <c r="G14" s="64"/>
      <c r="H14" s="64"/>
      <c r="I14" s="64"/>
      <c r="J14" s="64"/>
    </row>
    <row r="15" customFormat="false" ht="15.75" hidden="false" customHeight="true" outlineLevel="0" collapsed="false">
      <c r="A15" s="63" t="s">
        <v>112</v>
      </c>
      <c r="B15" s="63"/>
      <c r="C15" s="23" t="s">
        <v>113</v>
      </c>
      <c r="D15" s="64" t="s">
        <v>114</v>
      </c>
      <c r="E15" s="64"/>
      <c r="F15" s="64"/>
      <c r="G15" s="64"/>
      <c r="H15" s="64"/>
      <c r="I15" s="64"/>
      <c r="J15" s="64"/>
    </row>
    <row r="16" customFormat="false" ht="15.75" hidden="false" customHeight="true" outlineLevel="0" collapsed="false">
      <c r="A16" s="63" t="s">
        <v>25</v>
      </c>
      <c r="B16" s="63"/>
      <c r="C16" s="65" t="s">
        <v>115</v>
      </c>
      <c r="D16" s="64" t="s">
        <v>116</v>
      </c>
      <c r="E16" s="64"/>
      <c r="F16" s="64"/>
      <c r="G16" s="64"/>
      <c r="H16" s="64"/>
      <c r="I16" s="64"/>
      <c r="J16" s="64"/>
    </row>
    <row r="17" customFormat="false" ht="15.75" hidden="false" customHeight="true" outlineLevel="0" collapsed="false">
      <c r="A17" s="63" t="s">
        <v>117</v>
      </c>
      <c r="B17" s="63"/>
      <c r="C17" s="21" t="s">
        <v>118</v>
      </c>
      <c r="D17" s="64" t="s">
        <v>119</v>
      </c>
      <c r="E17" s="64"/>
      <c r="F17" s="64"/>
      <c r="G17" s="64"/>
      <c r="H17" s="64"/>
      <c r="I17" s="64"/>
      <c r="J17" s="64"/>
    </row>
    <row r="18" customFormat="false" ht="15.75" hidden="false" customHeight="true" outlineLevel="0" collapsed="false">
      <c r="A18" s="63" t="s">
        <v>120</v>
      </c>
      <c r="B18" s="63"/>
      <c r="C18" s="21" t="s">
        <v>121</v>
      </c>
      <c r="D18" s="64" t="s">
        <v>122</v>
      </c>
      <c r="E18" s="64"/>
      <c r="F18" s="64"/>
      <c r="G18" s="64"/>
      <c r="H18" s="64"/>
      <c r="I18" s="64"/>
      <c r="J18" s="64"/>
    </row>
  </sheetData>
  <mergeCells count="14">
    <mergeCell ref="A1:J1"/>
    <mergeCell ref="A2:J2"/>
    <mergeCell ref="A12:J12"/>
    <mergeCell ref="A13:J13"/>
    <mergeCell ref="A14:B14"/>
    <mergeCell ref="D14:J14"/>
    <mergeCell ref="A15:B15"/>
    <mergeCell ref="D15:J15"/>
    <mergeCell ref="A16:B16"/>
    <mergeCell ref="D16:J16"/>
    <mergeCell ref="A17:B17"/>
    <mergeCell ref="D17:J17"/>
    <mergeCell ref="A18:B18"/>
    <mergeCell ref="D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18"/>
  </cols>
  <sheetData>
    <row r="1" customFormat="false" ht="21.75" hidden="false" customHeight="true" outlineLevel="0" collapsed="false">
      <c r="A1" s="28" t="s">
        <v>123</v>
      </c>
      <c r="B1" s="28"/>
      <c r="C1" s="28"/>
      <c r="D1" s="28"/>
    </row>
    <row r="2" customFormat="false" ht="15" hidden="false" customHeight="false" outlineLevel="0" collapsed="false">
      <c r="A2" s="66" t="s">
        <v>124</v>
      </c>
      <c r="B2" s="66"/>
      <c r="C2" s="66"/>
      <c r="D2" s="66"/>
    </row>
    <row r="3" customFormat="false" ht="15" hidden="false" customHeight="false" outlineLevel="0" collapsed="false">
      <c r="A3" s="67" t="s">
        <v>125</v>
      </c>
      <c r="B3" s="67"/>
      <c r="C3" s="67"/>
      <c r="D3" s="67"/>
    </row>
    <row r="4" customFormat="false" ht="15" hidden="false" customHeight="false" outlineLevel="0" collapsed="false">
      <c r="A4" s="30" t="s">
        <v>126</v>
      </c>
      <c r="B4" s="32" t="s">
        <v>127</v>
      </c>
      <c r="C4" s="68"/>
      <c r="D4" s="32" t="s">
        <v>127</v>
      </c>
    </row>
    <row r="5" customFormat="false" ht="15" hidden="false" customHeight="false" outlineLevel="0" collapsed="false">
      <c r="A5" s="69" t="s">
        <v>128</v>
      </c>
      <c r="D5" s="69" t="s">
        <v>129</v>
      </c>
    </row>
    <row r="6" customFormat="false" ht="15" hidden="false" customHeight="false" outlineLevel="0" collapsed="false">
      <c r="A6" s="34" t="s">
        <v>130</v>
      </c>
      <c r="B6" s="35" t="n">
        <v>8240000</v>
      </c>
      <c r="C6" s="70"/>
      <c r="D6" s="35" t="n">
        <v>24180000</v>
      </c>
    </row>
    <row r="7" customFormat="false" ht="15" hidden="false" customHeight="false" outlineLevel="0" collapsed="false">
      <c r="A7" s="34" t="s">
        <v>131</v>
      </c>
      <c r="B7" s="35" t="n">
        <v>2180000</v>
      </c>
      <c r="C7" s="70"/>
      <c r="D7" s="35" t="n">
        <v>4820000</v>
      </c>
    </row>
    <row r="8" customFormat="false" ht="15" hidden="false" customHeight="false" outlineLevel="0" collapsed="false">
      <c r="A8" s="34" t="s">
        <v>132</v>
      </c>
      <c r="B8" s="35" t="n">
        <v>3420000</v>
      </c>
      <c r="C8" s="70"/>
      <c r="D8" s="35" t="n">
        <v>27643800</v>
      </c>
    </row>
    <row r="9" customFormat="false" ht="15" hidden="false" customHeight="false" outlineLevel="0" collapsed="false">
      <c r="A9" s="34" t="s">
        <v>133</v>
      </c>
      <c r="B9" s="35" t="n">
        <v>7680000</v>
      </c>
      <c r="C9" s="70"/>
      <c r="D9" s="35" t="n">
        <v>11240000</v>
      </c>
    </row>
    <row r="10" customFormat="false" ht="15" hidden="false" customHeight="false" outlineLevel="0" collapsed="false">
      <c r="A10" s="34" t="s">
        <v>134</v>
      </c>
      <c r="B10" s="35" t="n">
        <v>5900000</v>
      </c>
      <c r="C10" s="70"/>
      <c r="D10" s="35" t="n">
        <v>8420000</v>
      </c>
    </row>
    <row r="11" customFormat="false" ht="15" hidden="false" customHeight="false" outlineLevel="0" collapsed="false">
      <c r="A11" s="34" t="s">
        <v>135</v>
      </c>
      <c r="B11" s="35" t="n">
        <v>3800000</v>
      </c>
      <c r="C11" s="70"/>
      <c r="D11" s="35" t="n">
        <v>1840000</v>
      </c>
    </row>
    <row r="12" customFormat="false" ht="15" hidden="false" customHeight="false" outlineLevel="0" collapsed="false">
      <c r="A12" s="34" t="s">
        <v>136</v>
      </c>
      <c r="B12" s="35" t="n">
        <v>2800000</v>
      </c>
      <c r="C12" s="70"/>
      <c r="D12" s="35" t="n">
        <v>816667</v>
      </c>
    </row>
    <row r="13" customFormat="false" ht="15" hidden="false" customHeight="false" outlineLevel="0" collapsed="false">
      <c r="A13" s="34" t="s">
        <v>137</v>
      </c>
      <c r="B13" s="35" t="n">
        <v>1000000</v>
      </c>
      <c r="C13" s="70"/>
      <c r="D13" s="35" t="n">
        <v>385000</v>
      </c>
    </row>
    <row r="14" customFormat="false" ht="15" hidden="false" customHeight="false" outlineLevel="0" collapsed="false">
      <c r="A14" s="71" t="s">
        <v>138</v>
      </c>
      <c r="B14" s="35" t="n">
        <v>14600000</v>
      </c>
      <c r="C14" s="70"/>
      <c r="D14" s="39" t="n">
        <f aca="false">SUM(D6:D13)</f>
        <v>79345467</v>
      </c>
    </row>
    <row r="15" customFormat="false" ht="15" hidden="false" customHeight="false" outlineLevel="0" collapsed="false">
      <c r="A15" s="34" t="s">
        <v>139</v>
      </c>
      <c r="B15" s="35" t="n">
        <v>2271850</v>
      </c>
      <c r="C15" s="70"/>
    </row>
    <row r="16" customFormat="false" ht="15" hidden="false" customHeight="false" outlineLevel="0" collapsed="false">
      <c r="A16" s="34" t="s">
        <v>140</v>
      </c>
      <c r="B16" s="35" t="n">
        <v>1840000</v>
      </c>
      <c r="C16" s="70"/>
      <c r="D16" s="69" t="s">
        <v>141</v>
      </c>
    </row>
    <row r="17" customFormat="false" ht="15" hidden="false" customHeight="false" outlineLevel="0" collapsed="false">
      <c r="A17" s="34" t="s">
        <v>142</v>
      </c>
      <c r="B17" s="35" t="n">
        <v>920000</v>
      </c>
      <c r="C17" s="70"/>
      <c r="D17" s="35" t="n">
        <v>3840000</v>
      </c>
    </row>
    <row r="18" customFormat="false" ht="15" hidden="false" customHeight="false" outlineLevel="0" collapsed="false">
      <c r="A18" s="72" t="s">
        <v>143</v>
      </c>
      <c r="B18" s="39" t="n">
        <f aca="false">SUM(B6:B17)</f>
        <v>54651850</v>
      </c>
      <c r="D18" s="35" t="n">
        <v>1200000</v>
      </c>
    </row>
    <row r="19" customFormat="false" ht="15" hidden="false" customHeight="false" outlineLevel="0" collapsed="false">
      <c r="A19" s="34" t="s">
        <v>144</v>
      </c>
      <c r="D19" s="35" t="n">
        <v>1840000</v>
      </c>
    </row>
    <row r="20" customFormat="false" ht="15" hidden="false" customHeight="false" outlineLevel="0" collapsed="false">
      <c r="A20" s="71" t="s">
        <v>145</v>
      </c>
      <c r="D20" s="39" t="n">
        <f aca="false">SUM(D17:D19)</f>
        <v>6880000</v>
      </c>
    </row>
    <row r="21" customFormat="false" ht="15" hidden="false" customHeight="false" outlineLevel="0" collapsed="false">
      <c r="A21" s="60" t="s">
        <v>146</v>
      </c>
      <c r="B21" s="35" t="n">
        <v>3845000</v>
      </c>
      <c r="C21" s="70"/>
      <c r="D21" s="73" t="n">
        <f aca="false">D14+D20</f>
        <v>86225467</v>
      </c>
    </row>
    <row r="22" customFormat="false" ht="15" hidden="false" customHeight="false" outlineLevel="0" collapsed="false">
      <c r="A22" s="34" t="s">
        <v>147</v>
      </c>
      <c r="B22" s="35" t="n">
        <v>-1240000</v>
      </c>
      <c r="C22" s="70"/>
    </row>
    <row r="23" customFormat="false" ht="15" hidden="false" customHeight="false" outlineLevel="0" collapsed="false">
      <c r="A23" s="34" t="s">
        <v>148</v>
      </c>
      <c r="B23" s="35" t="n">
        <v>880000</v>
      </c>
      <c r="C23" s="70"/>
      <c r="D23" s="69" t="s">
        <v>149</v>
      </c>
    </row>
    <row r="24" customFormat="false" ht="15" hidden="false" customHeight="false" outlineLevel="0" collapsed="false">
      <c r="A24" s="34" t="s">
        <v>150</v>
      </c>
      <c r="B24" s="35" t="n">
        <v>-295000</v>
      </c>
      <c r="C24" s="70"/>
      <c r="D24" s="35" t="n">
        <v>1500000</v>
      </c>
    </row>
    <row r="25" customFormat="false" ht="15" hidden="false" customHeight="false" outlineLevel="0" collapsed="false">
      <c r="A25" s="72" t="s">
        <v>151</v>
      </c>
      <c r="B25" s="39" t="n">
        <f aca="false">SUM(B21:B24)</f>
        <v>3190000</v>
      </c>
      <c r="D25" s="35" t="n">
        <v>2840983</v>
      </c>
    </row>
    <row r="26" customFormat="false" ht="15" hidden="false" customHeight="false" outlineLevel="0" collapsed="false">
      <c r="A26" s="34" t="s">
        <v>152</v>
      </c>
      <c r="D26" s="35" t="n">
        <v>4117034</v>
      </c>
    </row>
    <row r="27" customFormat="false" ht="15" hidden="false" customHeight="false" outlineLevel="0" collapsed="false">
      <c r="A27" s="74" t="s">
        <v>153</v>
      </c>
      <c r="D27" s="75" t="n">
        <f aca="false">SUM(D24:D26)</f>
        <v>8458017</v>
      </c>
    </row>
    <row r="28" customFormat="false" ht="15" hidden="false" customHeight="false" outlineLevel="0" collapsed="false">
      <c r="A28" s="76" t="s">
        <v>154</v>
      </c>
      <c r="B28" s="35" t="n">
        <v>380000</v>
      </c>
      <c r="C28" s="70"/>
      <c r="D28" s="45" t="n">
        <f aca="false">D21+D27</f>
        <v>94683484</v>
      </c>
    </row>
    <row r="29" customFormat="false" ht="15" hidden="false" customHeight="false" outlineLevel="0" collapsed="false">
      <c r="A29" s="34" t="s">
        <v>155</v>
      </c>
      <c r="B29" s="35" t="n">
        <v>0</v>
      </c>
      <c r="C29" s="70"/>
    </row>
    <row r="30" customFormat="false" ht="18" hidden="false" customHeight="true" outlineLevel="0" collapsed="false">
      <c r="A30" s="77" t="s">
        <v>156</v>
      </c>
      <c r="B30" s="77"/>
      <c r="C30" s="77"/>
      <c r="D30" s="77"/>
    </row>
    <row r="31" customFormat="false" ht="15" hidden="false" customHeight="false" outlineLevel="0" collapsed="false">
      <c r="A31" s="44" t="s">
        <v>157</v>
      </c>
      <c r="B31" s="45" t="n">
        <f aca="false">B18+B25+B30</f>
        <v>57841850</v>
      </c>
    </row>
  </sheetData>
  <mergeCells count="4">
    <mergeCell ref="A1:D1"/>
    <mergeCell ref="A2:D2"/>
    <mergeCell ref="A3:D3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5"/>
  </cols>
  <sheetData>
    <row r="1" customFormat="false" ht="24" hidden="false" customHeight="true" outlineLevel="0" collapsed="false">
      <c r="A1" s="28" t="s">
        <v>158</v>
      </c>
      <c r="B1" s="28"/>
      <c r="C1" s="28"/>
      <c r="D1" s="28"/>
      <c r="E1" s="28"/>
      <c r="F1" s="28"/>
      <c r="G1" s="28"/>
    </row>
    <row r="2" customFormat="false" ht="15" hidden="false" customHeight="false" outlineLevel="0" collapsed="false">
      <c r="A2" s="29" t="s">
        <v>159</v>
      </c>
      <c r="B2" s="29"/>
      <c r="C2" s="29"/>
      <c r="D2" s="29"/>
      <c r="E2" s="29"/>
      <c r="F2" s="29"/>
      <c r="G2" s="29"/>
    </row>
    <row r="3" customFormat="false" ht="36" hidden="false" customHeight="true" outlineLevel="0" collapsed="false">
      <c r="A3" s="3" t="s">
        <v>160</v>
      </c>
      <c r="B3" s="3" t="s">
        <v>161</v>
      </c>
      <c r="C3" s="3" t="s">
        <v>162</v>
      </c>
      <c r="D3" s="3" t="s">
        <v>163</v>
      </c>
      <c r="E3" s="3" t="s">
        <v>164</v>
      </c>
      <c r="F3" s="3" t="s">
        <v>165</v>
      </c>
      <c r="G3" s="31" t="s">
        <v>166</v>
      </c>
    </row>
    <row r="4" customFormat="false" ht="15" hidden="false" customHeight="false" outlineLevel="0" collapsed="false">
      <c r="A4" s="15" t="s">
        <v>167</v>
      </c>
      <c r="B4" s="15"/>
      <c r="C4" s="15"/>
      <c r="D4" s="15"/>
      <c r="E4" s="15"/>
      <c r="F4" s="15"/>
      <c r="G4" s="15"/>
    </row>
    <row r="5" customFormat="false" ht="15" hidden="false" customHeight="false" outlineLevel="0" collapsed="false">
      <c r="A5" s="34" t="s">
        <v>168</v>
      </c>
      <c r="B5" s="35" t="n">
        <v>5900000</v>
      </c>
      <c r="C5" s="35" t="n">
        <v>3800000</v>
      </c>
      <c r="D5" s="35" t="n">
        <v>960000</v>
      </c>
      <c r="E5" s="35" t="n">
        <v>1000000</v>
      </c>
      <c r="F5" s="35" t="n">
        <v>2800000</v>
      </c>
      <c r="G5" s="78" t="n">
        <f aca="false">SUM(B5:F5)</f>
        <v>14460000</v>
      </c>
    </row>
    <row r="6" customFormat="false" ht="15" hidden="false" customHeight="false" outlineLevel="0" collapsed="false">
      <c r="A6" s="38" t="s">
        <v>169</v>
      </c>
      <c r="B6" s="39" t="n">
        <f aca="false">B5</f>
        <v>5900000</v>
      </c>
      <c r="C6" s="39" t="n">
        <f aca="false">C5</f>
        <v>3800000</v>
      </c>
      <c r="D6" s="39" t="n">
        <f aca="false">D5</f>
        <v>960000</v>
      </c>
      <c r="E6" s="39" t="n">
        <f aca="false">E5</f>
        <v>1000000</v>
      </c>
      <c r="F6" s="39" t="n">
        <f aca="false">F5</f>
        <v>2800000</v>
      </c>
      <c r="G6" s="39" t="n">
        <f aca="false">G5</f>
        <v>14460000</v>
      </c>
    </row>
    <row r="8" customFormat="false" ht="15" hidden="false" customHeight="false" outlineLevel="0" collapsed="false">
      <c r="A8" s="15" t="s">
        <v>170</v>
      </c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34" t="s">
        <v>171</v>
      </c>
      <c r="B9" s="35" t="n">
        <v>4100000</v>
      </c>
      <c r="C9" s="35" t="n">
        <v>3420000</v>
      </c>
      <c r="D9" s="35" t="n">
        <v>910000</v>
      </c>
      <c r="E9" s="35" t="n">
        <v>890000</v>
      </c>
      <c r="F9" s="35" t="n">
        <v>2420000</v>
      </c>
      <c r="G9" s="78" t="n">
        <f aca="false">SUM(B9:F9)</f>
        <v>11740000</v>
      </c>
    </row>
    <row r="10" customFormat="false" ht="15" hidden="false" customHeight="false" outlineLevel="0" collapsed="false">
      <c r="A10" s="38" t="s">
        <v>172</v>
      </c>
      <c r="B10" s="39" t="n">
        <f aca="false">B9</f>
        <v>4100000</v>
      </c>
      <c r="C10" s="39" t="n">
        <f aca="false">C9</f>
        <v>3420000</v>
      </c>
      <c r="D10" s="39" t="n">
        <f aca="false">D9</f>
        <v>910000</v>
      </c>
      <c r="E10" s="39" t="n">
        <f aca="false">E9</f>
        <v>890000</v>
      </c>
      <c r="F10" s="39" t="n">
        <f aca="false">F9</f>
        <v>2420000</v>
      </c>
      <c r="G10" s="39" t="n">
        <f aca="false">G9</f>
        <v>11740000</v>
      </c>
    </row>
    <row r="11" customFormat="false" ht="15" hidden="false" customHeight="false" outlineLevel="0" collapsed="false">
      <c r="A11" s="40" t="s">
        <v>173</v>
      </c>
      <c r="B11" s="41" t="n">
        <f aca="false">B6-B10</f>
        <v>1800000</v>
      </c>
      <c r="C11" s="41" t="n">
        <f aca="false">C6-C10</f>
        <v>380000</v>
      </c>
      <c r="D11" s="41" t="n">
        <f aca="false">D6-D10</f>
        <v>50000</v>
      </c>
      <c r="E11" s="41" t="n">
        <f aca="false">E6-E10</f>
        <v>110000</v>
      </c>
      <c r="F11" s="41" t="n">
        <f aca="false">F6-F10</f>
        <v>380000</v>
      </c>
      <c r="G11" s="41" t="n">
        <f aca="false">G6-G10</f>
        <v>2720000</v>
      </c>
    </row>
    <row r="13" customFormat="false" ht="15" hidden="false" customHeight="false" outlineLevel="0" collapsed="false">
      <c r="A13" s="15" t="s">
        <v>174</v>
      </c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34" t="s">
        <v>175</v>
      </c>
      <c r="B14" s="35" t="n">
        <v>194814</v>
      </c>
      <c r="C14" s="35" t="n">
        <v>138072</v>
      </c>
      <c r="D14" s="35" t="n">
        <v>335408</v>
      </c>
      <c r="E14" s="35" t="n">
        <v>91115</v>
      </c>
      <c r="F14" s="35" t="n">
        <v>57258</v>
      </c>
      <c r="G14" s="79" t="n">
        <f aca="false">SUM(B14:F14)</f>
        <v>816667</v>
      </c>
    </row>
    <row r="15" customFormat="false" ht="15" hidden="false" customHeight="false" outlineLevel="0" collapsed="false">
      <c r="A15" s="34" t="s">
        <v>176</v>
      </c>
      <c r="B15" s="35" t="n">
        <v>-22000</v>
      </c>
      <c r="C15" s="35" t="n">
        <v>-18000</v>
      </c>
      <c r="D15" s="35" t="n">
        <v>-5000</v>
      </c>
      <c r="E15" s="35" t="n">
        <v>-12000</v>
      </c>
      <c r="F15" s="35" t="n">
        <v>-8000</v>
      </c>
      <c r="G15" s="79" t="n">
        <f aca="false">SUM(B15:F15)</f>
        <v>-65000</v>
      </c>
    </row>
    <row r="17" customFormat="false" ht="15" hidden="false" customHeight="false" outlineLevel="0" collapsed="false">
      <c r="A17" s="44" t="s">
        <v>177</v>
      </c>
      <c r="B17" s="45" t="n">
        <f aca="false">B11-B14+B15</f>
        <v>1583186</v>
      </c>
      <c r="C17" s="45" t="n">
        <f aca="false">C11-C14+C15</f>
        <v>223928</v>
      </c>
      <c r="D17" s="45" t="n">
        <f aca="false">D11-D14+D15</f>
        <v>-290408</v>
      </c>
      <c r="E17" s="45" t="n">
        <f aca="false">E11-E14+E15</f>
        <v>6885</v>
      </c>
      <c r="F17" s="45" t="n">
        <f aca="false">F11-F14+F15</f>
        <v>314742</v>
      </c>
      <c r="G17" s="45" t="n">
        <f aca="false">G11-G14+G15</f>
        <v>1838333</v>
      </c>
    </row>
    <row r="18" customFormat="false" ht="15" hidden="false" customHeight="false" outlineLevel="0" collapsed="false">
      <c r="A18" s="42" t="s">
        <v>178</v>
      </c>
      <c r="B18" s="43" t="n">
        <f aca="false">IF(B6=0,0,B17/B6)</f>
        <v>0.268336610169492</v>
      </c>
      <c r="C18" s="43" t="n">
        <f aca="false">IF(C6=0,0,C17/C6)</f>
        <v>0.0589284210526316</v>
      </c>
      <c r="D18" s="43" t="n">
        <f aca="false">IF(D6=0,0,D17/D6)</f>
        <v>-0.302508333333333</v>
      </c>
      <c r="E18" s="43" t="n">
        <f aca="false">IF(E6=0,0,E17/E6)</f>
        <v>0.006885</v>
      </c>
      <c r="F18" s="43" t="n">
        <f aca="false">IF(F6=0,0,F17/F6)</f>
        <v>0.112407857142857</v>
      </c>
      <c r="G18" s="43" t="n">
        <f aca="false">IF(G6=0,0,G17/G6)</f>
        <v>0.127132295988935</v>
      </c>
    </row>
  </sheetData>
  <mergeCells count="5">
    <mergeCell ref="A1:G1"/>
    <mergeCell ref="A2:G2"/>
    <mergeCell ref="A4:G4"/>
    <mergeCell ref="A8:G8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2026-02-18T15:57:04Z</dcterms:created>
  <dc:creator>openpyxl</dc:creator>
  <dc:description/>
  <dc:language>en-US</dc:language>
  <cp:lastModifiedBy/>
  <dcterms:modified xsi:type="dcterms:W3CDTF">2026-02-18T15:57:04Z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