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WIP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&quot;-&quot;"/>
    <numFmt numFmtId="165" formatCode="0.0%;(0.0%);&quot;-&quot;"/>
    <numFmt numFmtId="166" formatCode="0.0%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i val="1"/>
      <sz val="10"/>
    </font>
    <font>
      <name val="Arial"/>
      <sz val="9"/>
    </font>
    <font>
      <name val="Arial"/>
      <sz val="10"/>
    </font>
    <font>
      <name val="Arial"/>
      <b val="1"/>
      <color rgb="001E8449"/>
      <sz val="10"/>
    </font>
    <font>
      <name val="Arial"/>
      <b val="1"/>
      <color rgb="00B8860B"/>
      <sz val="10"/>
    </font>
    <font>
      <name val="Arial"/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A3C40"/>
      </patternFill>
    </fill>
    <fill>
      <patternFill patternType="solid">
        <fgColor rgb="00D0EBEC"/>
      </patternFill>
    </fill>
    <fill>
      <patternFill patternType="solid">
        <fgColor rgb="002E7D82"/>
      </patternFill>
    </fill>
    <fill>
      <patternFill patternType="solid">
        <fgColor rgb="00D5F5E3"/>
      </patternFill>
    </fill>
    <fill>
      <patternFill patternType="solid">
        <fgColor rgb="00E8F5F5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top style="thin"/>
      <bottom style="double"/>
    </border>
    <border>
      <top style="medium"/>
      <bottom style="double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indent="1"/>
    </xf>
    <xf numFmtId="164" fontId="6" fillId="0" borderId="0" applyAlignment="1" pivotButton="0" quotePrefix="0" xfId="0">
      <alignment horizontal="right"/>
    </xf>
    <xf numFmtId="0" fontId="7" fillId="3" borderId="0" applyAlignment="1" pivotButton="0" quotePrefix="0" xfId="0">
      <alignment horizontal="left"/>
    </xf>
    <xf numFmtId="164" fontId="8" fillId="3" borderId="1" applyAlignment="1" pivotButton="0" quotePrefix="0" xfId="0">
      <alignment horizontal="right"/>
    </xf>
    <xf numFmtId="0" fontId="7" fillId="5" borderId="0" applyAlignment="1" pivotButton="0" quotePrefix="0" xfId="0">
      <alignment horizontal="left"/>
    </xf>
    <xf numFmtId="164" fontId="8" fillId="5" borderId="0" applyAlignment="1" pivotButton="0" quotePrefix="0" xfId="0">
      <alignment horizontal="right"/>
    </xf>
    <xf numFmtId="165" fontId="9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left"/>
    </xf>
    <xf numFmtId="164" fontId="4" fillId="2" borderId="2" applyAlignment="1" pivotButton="0" quotePrefix="0" xfId="0">
      <alignment horizontal="right"/>
    </xf>
    <xf numFmtId="0" fontId="5" fillId="4" borderId="0" pivotButton="0" quotePrefix="0" xfId="0"/>
    <xf numFmtId="0" fontId="10" fillId="6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applyAlignment="1" pivotButton="0" quotePrefix="0" xfId="0">
      <alignment horizontal="left" indent="1"/>
    </xf>
    <xf numFmtId="164" fontId="11" fillId="0" borderId="0" applyAlignment="1" pivotButton="0" quotePrefix="0" xfId="0">
      <alignment horizontal="right"/>
    </xf>
    <xf numFmtId="0" fontId="0" fillId="7" borderId="0" pivotButton="0" quotePrefix="0" xfId="0"/>
    <xf numFmtId="0" fontId="6" fillId="3" borderId="0" applyAlignment="1" pivotButton="0" quotePrefix="0" xfId="0">
      <alignment horizontal="left"/>
    </xf>
    <xf numFmtId="0" fontId="6" fillId="4" borderId="0" applyAlignment="1" pivotButton="0" quotePrefix="0" xfId="0">
      <alignment horizontal="left" indent="1"/>
    </xf>
    <xf numFmtId="164" fontId="8" fillId="3" borderId="0" applyAlignment="1" pivotButton="0" quotePrefix="0" xfId="0">
      <alignment horizontal="right"/>
    </xf>
    <xf numFmtId="0" fontId="5" fillId="2" borderId="0" applyAlignment="1" pivotButton="0" quotePrefix="0" xfId="0">
      <alignment horizontal="left"/>
    </xf>
    <xf numFmtId="164" fontId="5" fillId="2" borderId="0" applyAlignment="1" pivotButton="0" quotePrefix="0" xfId="0">
      <alignment horizontal="right"/>
    </xf>
    <xf numFmtId="0" fontId="6" fillId="3" borderId="0" applyAlignment="1" pivotButton="0" quotePrefix="0" xfId="0">
      <alignment horizontal="left" indent="1"/>
    </xf>
    <xf numFmtId="0" fontId="6" fillId="2" borderId="0" applyAlignment="1" pivotButton="0" quotePrefix="0" xfId="0">
      <alignment horizontal="left" indent="1"/>
    </xf>
    <xf numFmtId="0" fontId="12" fillId="5" borderId="0" pivotButton="0" quotePrefix="0" xfId="0"/>
    <xf numFmtId="0" fontId="7" fillId="0" borderId="0" applyAlignment="1" pivotButton="0" quotePrefix="0" xfId="0">
      <alignment horizontal="left" indent="1"/>
    </xf>
    <xf numFmtId="0" fontId="5" fillId="4" borderId="0" applyAlignment="1" pivotButton="0" quotePrefix="0" xfId="0">
      <alignment horizontal="center" wrapText="1"/>
    </xf>
    <xf numFmtId="0" fontId="11" fillId="6" borderId="0" applyAlignment="1" pivotButton="0" quotePrefix="0" xfId="0">
      <alignment horizontal="left" indent="1"/>
    </xf>
    <xf numFmtId="164" fontId="11" fillId="6" borderId="0" applyAlignment="1" pivotButton="0" quotePrefix="0" xfId="0">
      <alignment horizontal="right"/>
    </xf>
    <xf numFmtId="166" fontId="11" fillId="6" borderId="0" applyAlignment="1" pivotButton="0" quotePrefix="0" xfId="0">
      <alignment horizontal="center"/>
    </xf>
    <xf numFmtId="164" fontId="12" fillId="6" borderId="0" applyAlignment="1" pivotButton="0" quotePrefix="0" xfId="0">
      <alignment horizontal="right"/>
    </xf>
    <xf numFmtId="0" fontId="11" fillId="0" borderId="0" applyAlignment="1" pivotButton="0" quotePrefix="0" xfId="0">
      <alignment horizontal="left" indent="1"/>
    </xf>
    <xf numFmtId="166" fontId="11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right"/>
    </xf>
    <xf numFmtId="164" fontId="13" fillId="0" borderId="0" applyAlignment="1" pivotButton="0" quotePrefix="0" xfId="0">
      <alignment horizontal="right"/>
    </xf>
    <xf numFmtId="164" fontId="13" fillId="6" borderId="0" applyAlignment="1" pivotButton="0" quotePrefix="0" xfId="0">
      <alignment horizontal="right"/>
    </xf>
    <xf numFmtId="0" fontId="8" fillId="3" borderId="1" applyAlignment="1" pivotButton="0" quotePrefix="0" xfId="0">
      <alignment horizontal="left" indent="1"/>
    </xf>
    <xf numFmtId="0" fontId="8" fillId="3" borderId="1" applyAlignment="1" pivotButton="0" quotePrefix="0" xfId="0">
      <alignment horizontal="center"/>
    </xf>
    <xf numFmtId="0" fontId="1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</cols>
  <sheetData>
    <row r="1" ht="22" customHeight="1">
      <c r="A1" s="1" t="inlineStr">
        <is>
          <t>PINNACLE BUILDS LLC</t>
        </is>
      </c>
    </row>
    <row r="2" ht="18" customHeight="1">
      <c r="A2" s="2" t="inlineStr">
        <is>
          <t>Profit &amp; Loss Statement</t>
        </is>
      </c>
    </row>
    <row r="3" ht="16" customHeight="1">
      <c r="A3" s="3" t="inlineStr">
        <is>
          <t>Project: Lumière Brickell Marriott Autograph Collection (LBM-2024) — Miami, FL</t>
        </is>
      </c>
    </row>
    <row r="4" ht="20" customHeight="1">
      <c r="A4" s="4" t="inlineStr">
        <is>
          <t>Description</t>
        </is>
      </c>
      <c r="B4" s="5" t="inlineStr">
        <is>
          <t>YTD (Jan 2026)</t>
        </is>
      </c>
      <c r="C4" s="5" t="inlineStr">
        <is>
          <t>Project-to-Date</t>
        </is>
      </c>
      <c r="D4" s="5" t="inlineStr">
        <is>
          <t>Full Project Est.</t>
        </is>
      </c>
    </row>
    <row r="5">
      <c r="A5" s="6" t="inlineStr">
        <is>
          <t>REVENUE</t>
        </is>
      </c>
    </row>
    <row r="6">
      <c r="A6" s="7" t="inlineStr">
        <is>
          <t>Contract Revenue - Hotel GMP (% Complete)</t>
        </is>
      </c>
      <c r="B6" s="8" t="n">
        <v>8184600</v>
      </c>
      <c r="C6" s="8" t="n">
        <v>56184600</v>
      </c>
      <c r="D6" s="8" t="n">
        <v>94500000</v>
      </c>
    </row>
    <row r="7">
      <c r="A7" s="7" t="inlineStr">
        <is>
          <t>Change Order Revenue (Approved COs 1-7)</t>
        </is>
      </c>
      <c r="B7" s="8" t="n">
        <v>0</v>
      </c>
      <c r="C7" s="8" t="n">
        <v>0</v>
      </c>
      <c r="D7" s="8" t="n">
        <v>2370000</v>
      </c>
    </row>
    <row r="8">
      <c r="A8" s="7" t="inlineStr">
        <is>
          <t>FF&amp;E Procurement Management Fee</t>
        </is>
      </c>
      <c r="B8" s="8" t="n">
        <v>0</v>
      </c>
      <c r="C8" s="8" t="n">
        <v>0</v>
      </c>
      <c r="D8" s="8" t="n">
        <v>680000</v>
      </c>
    </row>
    <row r="9">
      <c r="A9" s="7" t="inlineStr">
        <is>
          <t>Bond Premium Revenue</t>
        </is>
      </c>
      <c r="B9" s="8" t="n">
        <v>78750</v>
      </c>
      <c r="C9" s="8" t="n">
        <v>945000</v>
      </c>
      <c r="D9" s="8" t="n">
        <v>945000</v>
      </c>
    </row>
    <row r="10">
      <c r="A10" s="7" t="inlineStr">
        <is>
          <t>Value Engineering Savings Share</t>
        </is>
      </c>
      <c r="B10" s="8" t="n">
        <v>0</v>
      </c>
      <c r="C10" s="8" t="n">
        <v>0</v>
      </c>
      <c r="D10" s="8" t="n">
        <v>350000</v>
      </c>
    </row>
    <row r="11">
      <c r="A11" s="9" t="inlineStr">
        <is>
          <t>TOTAL REVENUE</t>
        </is>
      </c>
      <c r="B11" s="10">
        <f>SUM(B6:B10)</f>
        <v/>
      </c>
      <c r="C11" s="10">
        <f>SUM(C6:C10)</f>
        <v/>
      </c>
      <c r="D11" s="10">
        <f>SUM(D6:D10)</f>
        <v/>
      </c>
    </row>
    <row r="13">
      <c r="A13" s="6" t="inlineStr">
        <is>
          <t>COST OF REVENUE (DIRECT COSTS)</t>
        </is>
      </c>
    </row>
    <row r="14">
      <c r="A14" s="7" t="inlineStr">
        <is>
          <t>Direct Labor (Field)</t>
        </is>
      </c>
      <c r="B14" s="8" t="n">
        <v>412000</v>
      </c>
      <c r="C14" s="8" t="n">
        <v>4800000</v>
      </c>
      <c r="D14" s="8" t="n">
        <v>8300000</v>
      </c>
    </row>
    <row r="15">
      <c r="A15" s="7" t="inlineStr">
        <is>
          <t>Subcontractor Costs</t>
        </is>
      </c>
      <c r="B15" s="8" t="n">
        <v>2482000</v>
      </c>
      <c r="C15" s="8" t="n">
        <v>38901000</v>
      </c>
      <c r="D15" s="8" t="n">
        <v>67150000</v>
      </c>
    </row>
    <row r="16">
      <c r="A16" s="7" t="inlineStr">
        <is>
          <t>Materials &amp; Supplies</t>
        </is>
      </c>
      <c r="B16" s="8" t="n">
        <v>242000</v>
      </c>
      <c r="C16" s="8" t="n">
        <v>2150000</v>
      </c>
      <c r="D16" s="8" t="n">
        <v>3700000</v>
      </c>
    </row>
    <row r="17">
      <c r="A17" s="7" t="inlineStr">
        <is>
          <t>Equipment Costs</t>
        </is>
      </c>
      <c r="B17" s="8" t="n">
        <v>78000</v>
      </c>
      <c r="C17" s="8" t="n">
        <v>685000</v>
      </c>
      <c r="D17" s="8" t="n">
        <v>1180000</v>
      </c>
    </row>
    <row r="18">
      <c r="A18" s="7" t="inlineStr">
        <is>
          <t>FF&amp;E Procurement Costs</t>
        </is>
      </c>
      <c r="B18" s="8" t="n">
        <v>0</v>
      </c>
      <c r="C18" s="8" t="n">
        <v>3200000</v>
      </c>
      <c r="D18" s="8" t="n">
        <v>5500000</v>
      </c>
    </row>
    <row r="19">
      <c r="A19" s="7" t="inlineStr">
        <is>
          <t>Hospitality Specialty Systems (Pool, Spa, AV, Kitchen)</t>
        </is>
      </c>
      <c r="B19" s="8" t="n">
        <v>42000</v>
      </c>
      <c r="C19" s="8" t="n">
        <v>1420000</v>
      </c>
      <c r="D19" s="8" t="n">
        <v>2370000</v>
      </c>
    </row>
    <row r="20">
      <c r="A20" s="7" t="inlineStr">
        <is>
          <t>Other Direct Costs (Permits, Testing, Commissioning)</t>
        </is>
      </c>
      <c r="B20" s="8" t="n">
        <v>0</v>
      </c>
      <c r="C20" s="8" t="n">
        <v>0</v>
      </c>
      <c r="D20" s="8" t="n">
        <v>0</v>
      </c>
    </row>
    <row r="21">
      <c r="A21" s="9" t="inlineStr">
        <is>
          <t>TOTAL COST OF REVENUE</t>
        </is>
      </c>
      <c r="B21" s="10">
        <f>SUM(B14:B20)</f>
        <v/>
      </c>
      <c r="C21" s="10">
        <f>SUM(C14:C20)</f>
        <v/>
      </c>
      <c r="D21" s="10">
        <f>SUM(D14:D20)</f>
        <v/>
      </c>
    </row>
    <row r="22">
      <c r="A22" s="11" t="inlineStr">
        <is>
          <t>GROSS PROFIT</t>
        </is>
      </c>
      <c r="B22" s="12">
        <f>B11-B21</f>
        <v/>
      </c>
      <c r="C22" s="12">
        <f>C11-C21</f>
        <v/>
      </c>
      <c r="D22" s="12">
        <f>D11-D21</f>
        <v/>
      </c>
    </row>
    <row r="23">
      <c r="A23" s="7" t="inlineStr">
        <is>
          <t>Gross Margin %</t>
        </is>
      </c>
      <c r="B23" s="13">
        <f>IF(B11=0,0,B22/B11)</f>
        <v/>
      </c>
      <c r="C23" s="13">
        <f>IF(C11=0,0,C22/C11)</f>
        <v/>
      </c>
      <c r="D23" s="13">
        <f>IF(D11=0,0,D22/D11)</f>
        <v/>
      </c>
    </row>
    <row r="25">
      <c r="A25" s="6" t="inlineStr">
        <is>
          <t>GENERAL &amp; ADMINISTRATIVE EXPENSES</t>
        </is>
      </c>
    </row>
    <row r="26">
      <c r="A26" s="7" t="inlineStr">
        <is>
          <t>Project Management Salaries</t>
        </is>
      </c>
      <c r="B26" s="8" t="n">
        <v>291667</v>
      </c>
      <c r="C26" s="8" t="n">
        <v>3500000</v>
      </c>
      <c r="D26" s="8" t="n">
        <v>3500000</v>
      </c>
    </row>
    <row r="27">
      <c r="A27" s="7" t="inlineStr">
        <is>
          <t>General &amp; Administrative Overhead</t>
        </is>
      </c>
      <c r="B27" s="8" t="n">
        <v>125000</v>
      </c>
      <c r="C27" s="8" t="n">
        <v>1500000</v>
      </c>
      <c r="D27" s="8" t="n">
        <v>1500000</v>
      </c>
    </row>
    <row r="28">
      <c r="A28" s="7" t="inlineStr">
        <is>
          <t>Insurance (GL, Umbrella, Workers Comp)</t>
        </is>
      </c>
      <c r="B28" s="8" t="n">
        <v>91667</v>
      </c>
      <c r="C28" s="8" t="n">
        <v>1100000</v>
      </c>
      <c r="D28" s="8" t="n">
        <v>1100000</v>
      </c>
    </row>
    <row r="29">
      <c r="A29" s="7" t="inlineStr">
        <is>
          <t>Bonds (Performance &amp; Payment)</t>
        </is>
      </c>
      <c r="B29" s="8" t="n">
        <v>78750</v>
      </c>
      <c r="C29" s="8" t="n">
        <v>945000</v>
      </c>
      <c r="D29" s="8" t="n">
        <v>945000</v>
      </c>
    </row>
    <row r="30">
      <c r="A30" s="7" t="inlineStr">
        <is>
          <t>Depreciation - Equipment</t>
        </is>
      </c>
      <c r="B30" s="8" t="n">
        <v>47917</v>
      </c>
      <c r="C30" s="8" t="n">
        <v>575000</v>
      </c>
      <c r="D30" s="8" t="n">
        <v>575000</v>
      </c>
    </row>
    <row r="31">
      <c r="A31" s="7" t="inlineStr">
        <is>
          <t>Professional Fees (Legal, Accounting)</t>
        </is>
      </c>
      <c r="B31" s="8" t="n">
        <v>28333</v>
      </c>
      <c r="C31" s="8" t="n">
        <v>340000</v>
      </c>
      <c r="D31" s="8" t="n">
        <v>340000</v>
      </c>
    </row>
    <row r="32">
      <c r="A32" s="7" t="inlineStr">
        <is>
          <t>Marketing &amp; Business Development</t>
        </is>
      </c>
      <c r="B32" s="8" t="n">
        <v>12500</v>
      </c>
      <c r="C32" s="8" t="n">
        <v>150000</v>
      </c>
      <c r="D32" s="8" t="n">
        <v>150000</v>
      </c>
    </row>
    <row r="33">
      <c r="A33" s="7" t="inlineStr">
        <is>
          <t>Office &amp; Facilities</t>
        </is>
      </c>
      <c r="B33" s="8" t="n">
        <v>22917</v>
      </c>
      <c r="C33" s="8" t="n">
        <v>275000</v>
      </c>
      <c r="D33" s="8" t="n">
        <v>275000</v>
      </c>
    </row>
    <row r="34">
      <c r="A34" s="7" t="inlineStr">
        <is>
          <t>Vehicle &amp; Travel</t>
        </is>
      </c>
      <c r="B34" s="8" t="n">
        <v>9583</v>
      </c>
      <c r="C34" s="8" t="n">
        <v>115000</v>
      </c>
      <c r="D34" s="8" t="n">
        <v>115000</v>
      </c>
    </row>
    <row r="35">
      <c r="A35" s="7" t="inlineStr">
        <is>
          <t>IT &amp; Software</t>
        </is>
      </c>
      <c r="B35" s="8" t="n">
        <v>8333</v>
      </c>
      <c r="C35" s="8" t="n">
        <v>100000</v>
      </c>
      <c r="D35" s="8" t="n">
        <v>100000</v>
      </c>
    </row>
    <row r="36">
      <c r="A36" s="9" t="inlineStr">
        <is>
          <t>TOTAL G&amp;A EXPENSES</t>
        </is>
      </c>
      <c r="B36" s="10">
        <f>SUM(B26:B35)</f>
        <v/>
      </c>
      <c r="C36" s="10">
        <f>SUM(C26:C35)</f>
        <v/>
      </c>
      <c r="D36" s="10">
        <f>SUM(D26:D35)</f>
        <v/>
      </c>
    </row>
    <row r="37">
      <c r="A37" s="9" t="inlineStr">
        <is>
          <t>OPERATING INCOME (EBIT)</t>
        </is>
      </c>
      <c r="B37" s="10">
        <f>B22-B36</f>
        <v/>
      </c>
      <c r="C37" s="10">
        <f>C22-C36</f>
        <v/>
      </c>
      <c r="D37" s="10">
        <f>D22-D36</f>
        <v/>
      </c>
    </row>
    <row r="39">
      <c r="A39" s="6" t="inlineStr">
        <is>
          <t>OTHER INCOME / (EXPENSE)</t>
        </is>
      </c>
    </row>
    <row r="40">
      <c r="A40" s="7" t="inlineStr">
        <is>
          <t>Interest Expense</t>
        </is>
      </c>
      <c r="B40" s="8" t="n">
        <v>-44000</v>
      </c>
      <c r="C40" s="8" t="n">
        <v>-528000</v>
      </c>
      <c r="D40" s="8" t="n">
        <v>-528000</v>
      </c>
    </row>
    <row r="41">
      <c r="A41" s="7" t="inlineStr">
        <is>
          <t>Other Income</t>
        </is>
      </c>
      <c r="B41" s="8" t="n">
        <v>0</v>
      </c>
      <c r="C41" s="8" t="n">
        <v>18000</v>
      </c>
      <c r="D41" s="8" t="n">
        <v>18000</v>
      </c>
    </row>
    <row r="42">
      <c r="A42" s="9" t="inlineStr">
        <is>
          <t>TOTAL OTHER INCOME / (EXPENSE)</t>
        </is>
      </c>
      <c r="B42" s="10">
        <f>B40+B41</f>
        <v/>
      </c>
      <c r="C42" s="10">
        <f>C40+C41</f>
        <v/>
      </c>
      <c r="D42" s="10">
        <f>D40+D41</f>
        <v/>
      </c>
    </row>
    <row r="43">
      <c r="A43" s="14" t="inlineStr">
        <is>
          <t>NET INCOME</t>
        </is>
      </c>
      <c r="B43" s="15">
        <f>B37+B42</f>
        <v/>
      </c>
      <c r="C43" s="15">
        <f>C37+C42</f>
        <v/>
      </c>
      <c r="D43" s="15">
        <f>D37+D42</f>
        <v/>
      </c>
    </row>
    <row r="44">
      <c r="A44" s="7" t="inlineStr">
        <is>
          <t>Net Margin %</t>
        </is>
      </c>
      <c r="B44" s="13">
        <f>IF(B11=0,0,B43/B11)</f>
        <v/>
      </c>
      <c r="C44" s="13">
        <f>IF(C11=0,0,C43/C11)</f>
        <v/>
      </c>
      <c r="D44" s="13">
        <f>IF(D11=0,0,D43/D11)</f>
        <v/>
      </c>
    </row>
    <row r="46">
      <c r="A46" s="16" t="inlineStr">
        <is>
          <t>KEY NOTES &amp; RECONCILIATION POINTERS</t>
        </is>
      </c>
    </row>
    <row r="47" ht="14" customHeight="1">
      <c r="A47" s="17" t="inlineStr">
        <is>
          <t xml:space="preserve">  • Revenue Recognition: Percentage-of-completion method (ASC 606). 58% complete as of January 31, 2026.</t>
        </is>
      </c>
    </row>
    <row r="48" ht="14" customHeight="1">
      <c r="A48" s="17" t="inlineStr">
        <is>
          <t xml:space="preserve">  • Revised Contract: $96,870,000 = $94,500,000 original GMP + $2,370,000 approved COs 001-007. CO-008 ($750,000) pending - NOT included.</t>
        </is>
      </c>
    </row>
    <row r="49" ht="14" customHeight="1">
      <c r="A49" s="17" t="inlineStr">
        <is>
          <t xml:space="preserve">  • Billings in Excess of Costs (BIE): Total billed $62,700,000 exceeds earned $56,184,600 = $6,515,400 overbilling (shown as liability on BS).</t>
        </is>
      </c>
    </row>
    <row r="50" ht="14" customHeight="1">
      <c r="A50" s="17" t="inlineStr">
        <is>
          <t xml:space="preserve">  • Retainage: Developer withholds 10%. Retainage receivable $6,270,000 = 10% of all amounts billed. Released at substantial completion (Nov 2026).</t>
        </is>
      </c>
    </row>
    <row r="51" ht="14" customHeight="1">
      <c r="A51" s="17" t="inlineStr">
        <is>
          <t xml:space="preserve">  • FF&amp;E Deposits: $3,850,000 paid to vendors for long-lead case goods and soft goods (capitalized as asset until delivery/installation).</t>
        </is>
      </c>
    </row>
    <row r="52" ht="14" customHeight="1">
      <c r="A52" s="17" t="inlineStr">
        <is>
          <t xml:space="preserve">  • Subcontractor Retainage Payable: $5,292,000 withheld from subs pending completion of their scopes.</t>
        </is>
      </c>
    </row>
    <row r="53" ht="14" customHeight="1">
      <c r="A53" s="17" t="inlineStr">
        <is>
          <t xml:space="preserve">  • Marriott Brand Compliance: Autograph Collection PIP costs and brand standards coordination included in Other Direct Costs.</t>
        </is>
      </c>
    </row>
    <row r="54" ht="14" customHeight="1">
      <c r="A54" s="17" t="inlineStr">
        <is>
          <t xml:space="preserve">  • Hospitality Specialty Systems: Pool, spa, commercial kitchen, and AV systems tracked separately per project controls.</t>
        </is>
      </c>
    </row>
    <row r="55" ht="14" customHeight="1">
      <c r="A55" s="17" t="inlineStr">
        <is>
          <t xml:space="preserve">  • LEED Silver: Commissioning and documentation costs allocated to Professional Fees and Other Direct Costs.</t>
        </is>
      </c>
    </row>
    <row r="56" ht="14" customHeight="1">
      <c r="A56" s="17" t="inlineStr">
        <is>
          <t xml:space="preserve">  • Miami-Dade Compliance: NOA-compliant envelope products and hurricane wind load requirements included in curtain wall and roofing costs.</t>
        </is>
      </c>
    </row>
  </sheetData>
  <mergeCells count="18">
    <mergeCell ref="A1:D1"/>
    <mergeCell ref="A5:D5"/>
    <mergeCell ref="A56:D56"/>
    <mergeCell ref="A53:D53"/>
    <mergeCell ref="A50:D50"/>
    <mergeCell ref="A48:D48"/>
    <mergeCell ref="A3:D3"/>
    <mergeCell ref="A39:D39"/>
    <mergeCell ref="A54:D54"/>
    <mergeCell ref="A52:D52"/>
    <mergeCell ref="A55:D55"/>
    <mergeCell ref="A25:D25"/>
    <mergeCell ref="A51:D51"/>
    <mergeCell ref="A2:D2"/>
    <mergeCell ref="A49:D49"/>
    <mergeCell ref="A47:D47"/>
    <mergeCell ref="A46:D46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4" customWidth="1" min="3" max="3"/>
    <col width="18" customWidth="1" min="4" max="4"/>
  </cols>
  <sheetData>
    <row r="1" ht="22" customHeight="1">
      <c r="A1" s="1" t="inlineStr">
        <is>
          <t>PINNACLE BUILDS LLC</t>
        </is>
      </c>
    </row>
    <row r="2">
      <c r="A2" s="18" t="inlineStr">
        <is>
          <t>Balance Sheet — As of January 31, 2026</t>
        </is>
      </c>
    </row>
    <row r="3">
      <c r="A3" s="19" t="inlineStr">
        <is>
          <t>Project: Lumière Brickell Marriott Autograph Collection (LBM-2024)</t>
        </is>
      </c>
    </row>
    <row r="4">
      <c r="A4" s="4" t="inlineStr">
        <is>
          <t>ASSETS</t>
        </is>
      </c>
      <c r="B4" s="5" t="inlineStr">
        <is>
          <t>Amount ($)</t>
        </is>
      </c>
      <c r="C4" s="20" t="n"/>
      <c r="D4" s="5" t="inlineStr">
        <is>
          <t>Amount ($)</t>
        </is>
      </c>
    </row>
    <row r="5">
      <c r="A5" s="6" t="inlineStr">
        <is>
          <t>CURRENT ASSETS</t>
        </is>
      </c>
      <c r="D5" s="21" t="inlineStr">
        <is>
          <t>CURRENT LIABILITIES</t>
        </is>
      </c>
    </row>
    <row r="6">
      <c r="A6" s="7" t="inlineStr">
        <is>
          <t>Accounts Payable - Subcontractors (Pending)</t>
        </is>
      </c>
      <c r="B6" s="22" t="n">
        <v>5240000</v>
      </c>
      <c r="C6" s="23" t="n"/>
      <c r="D6" s="22" t="n">
        <v>12900000</v>
      </c>
    </row>
    <row r="7">
      <c r="A7" s="7" t="inlineStr">
        <is>
          <t>Accounts Payable - Materials &amp; Vendors</t>
        </is>
      </c>
      <c r="B7" s="22" t="n">
        <v>1180000</v>
      </c>
      <c r="C7" s="23" t="n"/>
      <c r="D7" s="22" t="n">
        <v>2150000</v>
      </c>
    </row>
    <row r="8">
      <c r="A8" s="7" t="inlineStr">
        <is>
          <t>Billings in Excess of Costs (Overbilling)</t>
        </is>
      </c>
      <c r="B8" s="22" t="n">
        <v>3850000</v>
      </c>
      <c r="C8" s="23" t="n"/>
      <c r="D8" s="22" t="n">
        <v>6515400</v>
      </c>
    </row>
    <row r="9">
      <c r="A9" s="7" t="inlineStr">
        <is>
          <t>Retainage Payable to Subcontractors</t>
        </is>
      </c>
      <c r="B9" s="22" t="n">
        <v>4620000</v>
      </c>
      <c r="C9" s="23" t="n"/>
      <c r="D9" s="22" t="n">
        <v>5292000</v>
      </c>
    </row>
    <row r="10">
      <c r="A10" s="7" t="inlineStr">
        <is>
          <t>Accrued Wages &amp; Benefits</t>
        </is>
      </c>
      <c r="B10" s="22" t="n">
        <v>8700000</v>
      </c>
      <c r="C10" s="23" t="n"/>
      <c r="D10" s="22" t="n">
        <v>4800000</v>
      </c>
    </row>
    <row r="11">
      <c r="A11" s="7" t="inlineStr">
        <is>
          <t>Accrued Taxes - Payroll &amp; Income</t>
        </is>
      </c>
      <c r="B11" s="22" t="n">
        <v>6270000</v>
      </c>
      <c r="C11" s="23" t="n"/>
      <c r="D11" s="22" t="n">
        <v>580000</v>
      </c>
    </row>
    <row r="12">
      <c r="A12" s="7" t="inlineStr">
        <is>
          <t>Accrued G&amp;A Expenses</t>
        </is>
      </c>
      <c r="B12" s="22" t="n">
        <v>3850000</v>
      </c>
      <c r="C12" s="23" t="n"/>
      <c r="D12" s="22" t="n">
        <v>716667</v>
      </c>
    </row>
    <row r="13">
      <c r="A13" s="7" t="inlineStr">
        <is>
          <t>Workers Comp Reserve</t>
        </is>
      </c>
      <c r="B13" s="22" t="n">
        <v>380000</v>
      </c>
      <c r="C13" s="23" t="n"/>
      <c r="D13" s="22" t="n">
        <v>185000</v>
      </c>
    </row>
    <row r="14">
      <c r="A14" s="9" t="inlineStr">
        <is>
          <t>TOTAL CURRENT LIABILITIES</t>
        </is>
      </c>
      <c r="B14" s="22" t="n">
        <v>285000</v>
      </c>
      <c r="C14" s="23" t="n"/>
      <c r="D14" s="10">
        <f>SUM(D6:D13)</f>
        <v/>
      </c>
    </row>
    <row r="15">
      <c r="A15" s="24" t="inlineStr"/>
      <c r="B15" s="10">
        <f>SUM(B6:B14)</f>
        <v/>
      </c>
    </row>
    <row r="16">
      <c r="D16" s="21" t="inlineStr">
        <is>
          <t>LONG-TERM LIABILITIES</t>
        </is>
      </c>
    </row>
    <row r="17">
      <c r="A17" s="25" t="inlineStr">
        <is>
          <t>Notes Payable - Equipment Financing</t>
        </is>
      </c>
      <c r="D17" s="22" t="n">
        <v>2200000</v>
      </c>
    </row>
    <row r="18">
      <c r="A18" s="7" t="inlineStr">
        <is>
          <t>Line of Credit - Equipment</t>
        </is>
      </c>
      <c r="B18" s="22" t="n">
        <v>2075000</v>
      </c>
      <c r="C18" s="23" t="n"/>
      <c r="D18" s="22" t="n">
        <v>850000</v>
      </c>
    </row>
    <row r="19">
      <c r="A19" s="9" t="inlineStr">
        <is>
          <t>TOTAL LONG-TERM LIABILITIES</t>
        </is>
      </c>
      <c r="B19" s="22" t="n">
        <v>-575000</v>
      </c>
      <c r="C19" s="23" t="n"/>
      <c r="D19" s="26">
        <f>SUM(D17:D18)</f>
        <v/>
      </c>
    </row>
    <row r="20">
      <c r="A20" s="27" t="inlineStr">
        <is>
          <t>TOTAL LIABILITIES</t>
        </is>
      </c>
      <c r="B20" s="10">
        <f>SUM(B18:B19)</f>
        <v/>
      </c>
      <c r="D20" s="28">
        <f>D14+D19</f>
        <v/>
      </c>
    </row>
    <row r="22">
      <c r="A22" s="6" t="inlineStr">
        <is>
          <t>OTHER ASSETS</t>
        </is>
      </c>
      <c r="D22" s="21" t="inlineStr">
        <is>
          <t>STOCKHOLDERS' EQUITY</t>
        </is>
      </c>
    </row>
    <row r="23">
      <c r="A23" s="7" t="inlineStr">
        <is>
          <t>Common Stock</t>
        </is>
      </c>
      <c r="B23" s="22" t="n">
        <v>125000</v>
      </c>
      <c r="C23" s="23" t="n"/>
      <c r="D23" s="22" t="n">
        <v>500000</v>
      </c>
    </row>
    <row r="24">
      <c r="A24" s="29" t="inlineStr">
        <is>
          <t>Retained Earnings (Prior Years)</t>
        </is>
      </c>
      <c r="B24" s="10">
        <f>B23</f>
        <v/>
      </c>
      <c r="D24" s="22" t="n">
        <v>-2707000</v>
      </c>
    </row>
    <row r="25">
      <c r="A25" s="30" t="inlineStr">
        <is>
          <t>Current Year Net Income (YTD Jan 2026)</t>
        </is>
      </c>
      <c r="B25" s="15">
        <f>B15+B20+B24</f>
        <v/>
      </c>
      <c r="D25" s="22" t="n">
        <v>4167933</v>
      </c>
    </row>
    <row r="26">
      <c r="A26" s="9" t="inlineStr">
        <is>
          <t>TOTAL STOCKHOLDERS' EQUITY</t>
        </is>
      </c>
      <c r="D26" s="10">
        <f>SUM(D23:D25)</f>
        <v/>
      </c>
    </row>
    <row r="27">
      <c r="A27" s="14" t="inlineStr">
        <is>
          <t>TOTAL LIABILITIES &amp; EQUITY</t>
        </is>
      </c>
      <c r="D27" s="15">
        <f>D20+D26</f>
        <v/>
      </c>
    </row>
    <row r="29">
      <c r="A29" s="31" t="inlineStr">
        <is>
          <t>Balance Sheet Check (Total Assets - Total L+E = $0):   =B25-D27</t>
        </is>
      </c>
    </row>
  </sheetData>
  <mergeCells count="7">
    <mergeCell ref="A1:D1"/>
    <mergeCell ref="A3:D3"/>
    <mergeCell ref="A5:B5"/>
    <mergeCell ref="A29:D29"/>
    <mergeCell ref="A2:D2"/>
    <mergeCell ref="A17:B17"/>
    <mergeCell ref="A22:B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</cols>
  <sheetData>
    <row r="1" ht="22" customHeight="1">
      <c r="A1" s="1" t="inlineStr">
        <is>
          <t>PINNACLE BUILDS LLC</t>
        </is>
      </c>
    </row>
    <row r="2">
      <c r="A2" s="18" t="inlineStr">
        <is>
          <t>Statement of Cash Flows</t>
        </is>
      </c>
    </row>
    <row r="3">
      <c r="A3" s="19" t="inlineStr">
        <is>
          <t>Project: Lumière Brickell Marriott Autograph Collection (LBM-2024)</t>
        </is>
      </c>
    </row>
    <row r="4">
      <c r="A4" s="4" t="inlineStr">
        <is>
          <t>Description</t>
        </is>
      </c>
      <c r="B4" s="5" t="inlineStr">
        <is>
          <t>YTD (Jan 2026)</t>
        </is>
      </c>
      <c r="C4" s="5" t="inlineStr">
        <is>
          <t>Project-to-Date</t>
        </is>
      </c>
    </row>
    <row r="5">
      <c r="A5" s="6" t="inlineStr">
        <is>
          <t>OPERATING ACTIVITIES</t>
        </is>
      </c>
    </row>
    <row r="6">
      <c r="A6" s="32" t="inlineStr">
        <is>
          <t>Net Income</t>
        </is>
      </c>
      <c r="B6" s="8" t="n">
        <v>4167933</v>
      </c>
      <c r="C6" s="8" t="n">
        <v>4167933</v>
      </c>
    </row>
    <row r="7">
      <c r="A7" s="32" t="inlineStr">
        <is>
          <t>Adjustments to Reconcile Net Income to Cash:</t>
        </is>
      </c>
    </row>
    <row r="8">
      <c r="A8" s="7" t="inlineStr">
        <is>
          <t xml:space="preserve">  Depreciation &amp; Amortization</t>
        </is>
      </c>
      <c r="B8" s="22" t="n">
        <v>47917</v>
      </c>
      <c r="C8" s="22" t="n">
        <v>575000</v>
      </c>
    </row>
    <row r="9">
      <c r="A9" s="7" t="inlineStr">
        <is>
          <t xml:space="preserve">  (Increase) / Decrease in Accounts Receivable</t>
        </is>
      </c>
      <c r="B9" s="22" t="n">
        <v>-8700000</v>
      </c>
      <c r="C9" s="22" t="n">
        <v>-8700000</v>
      </c>
    </row>
    <row r="10">
      <c r="A10" s="7" t="inlineStr">
        <is>
          <t xml:space="preserve">  (Increase) / Decrease in Retainage Receivable</t>
        </is>
      </c>
      <c r="B10" s="22" t="n">
        <v>-6270000</v>
      </c>
      <c r="C10" s="22" t="n">
        <v>-6270000</v>
      </c>
    </row>
    <row r="11">
      <c r="A11" s="7" t="inlineStr">
        <is>
          <t xml:space="preserve">  (Increase) / Decrease in BIE / CIE (net)</t>
        </is>
      </c>
      <c r="B11" s="22" t="n">
        <v>6515400</v>
      </c>
      <c r="C11" s="22" t="n">
        <v>6515400</v>
      </c>
    </row>
    <row r="12">
      <c r="A12" s="7" t="inlineStr">
        <is>
          <t xml:space="preserve">  (Increase) / Decrease in FF&amp;E Deposits</t>
        </is>
      </c>
      <c r="B12" s="22" t="n">
        <v>-3850000</v>
      </c>
      <c r="C12" s="22" t="n">
        <v>-3850000</v>
      </c>
    </row>
    <row r="13">
      <c r="A13" s="7" t="inlineStr">
        <is>
          <t xml:space="preserve">  (Increase) / Decrease in Prepaid Expenses</t>
        </is>
      </c>
      <c r="B13" s="22" t="n">
        <v>-380000</v>
      </c>
      <c r="C13" s="22" t="n">
        <v>-380000</v>
      </c>
    </row>
    <row r="14">
      <c r="A14" s="7" t="inlineStr">
        <is>
          <t xml:space="preserve">  (Increase) / Decrease in Materials on Site</t>
        </is>
      </c>
      <c r="B14" s="22" t="n">
        <v>-285000</v>
      </c>
      <c r="C14" s="22" t="n">
        <v>-285000</v>
      </c>
    </row>
    <row r="15">
      <c r="A15" s="7" t="inlineStr">
        <is>
          <t xml:space="preserve">  Increase / (Decrease) in Accounts Payable - Subs</t>
        </is>
      </c>
      <c r="B15" s="22" t="n">
        <v>12900000</v>
      </c>
      <c r="C15" s="22" t="n">
        <v>12900000</v>
      </c>
    </row>
    <row r="16">
      <c r="A16" s="7" t="inlineStr">
        <is>
          <t xml:space="preserve">  Increase / (Decrease) in AP - Materials &amp; Vendors</t>
        </is>
      </c>
      <c r="B16" s="22" t="n">
        <v>2150000</v>
      </c>
      <c r="C16" s="22" t="n">
        <v>2150000</v>
      </c>
    </row>
    <row r="17">
      <c r="A17" s="7" t="inlineStr">
        <is>
          <t xml:space="preserve">  Increase / (Decrease) in Retainage Payable to Subs</t>
        </is>
      </c>
      <c r="B17" s="22" t="n">
        <v>5292000</v>
      </c>
      <c r="C17" s="22" t="n">
        <v>5292000</v>
      </c>
    </row>
    <row r="18">
      <c r="A18" s="7" t="inlineStr">
        <is>
          <t xml:space="preserve">  Increase / (Decrease) in Accrued Wages &amp; Benefits</t>
        </is>
      </c>
      <c r="B18" s="22" t="n">
        <v>4800000</v>
      </c>
      <c r="C18" s="22" t="n">
        <v>4800000</v>
      </c>
    </row>
    <row r="19">
      <c r="A19" s="7" t="inlineStr">
        <is>
          <t xml:space="preserve">  Increase / (Decrease) in Accrued Taxes</t>
        </is>
      </c>
      <c r="B19" s="22" t="n">
        <v>580000</v>
      </c>
      <c r="C19" s="22" t="n">
        <v>580000</v>
      </c>
    </row>
    <row r="20">
      <c r="A20" s="7" t="inlineStr">
        <is>
          <t xml:space="preserve">  Increase / (Decrease) in Accrued G&amp;A Expenses</t>
        </is>
      </c>
      <c r="B20" s="22" t="n">
        <v>716667</v>
      </c>
      <c r="C20" s="22" t="n">
        <v>716667</v>
      </c>
    </row>
    <row r="21">
      <c r="A21" s="7" t="inlineStr">
        <is>
          <t xml:space="preserve">  Increase / (Decrease) in Workers Comp Reserve</t>
        </is>
      </c>
      <c r="B21" s="22" t="n">
        <v>185000</v>
      </c>
      <c r="C21" s="22" t="n">
        <v>185000</v>
      </c>
    </row>
    <row r="22">
      <c r="A22" s="9" t="inlineStr">
        <is>
          <t>NET CASH FROM OPERATING ACTIVITIES</t>
        </is>
      </c>
      <c r="B22" s="10">
        <f>SUM(B6:B21)</f>
        <v/>
      </c>
      <c r="C22" s="10">
        <f>SUM(C6:C21)</f>
        <v/>
      </c>
    </row>
    <row r="24">
      <c r="A24" s="6" t="inlineStr">
        <is>
          <t>INVESTING ACTIVITIES</t>
        </is>
      </c>
    </row>
    <row r="25">
      <c r="A25" s="7" t="inlineStr">
        <is>
          <t>Purchase of Construction Equipment</t>
        </is>
      </c>
      <c r="B25" s="22" t="n">
        <v>-98000</v>
      </c>
      <c r="C25" s="22" t="n">
        <v>-2075000</v>
      </c>
    </row>
    <row r="26">
      <c r="A26" s="7" t="inlineStr">
        <is>
          <t>FF&amp;E Deposits Paid to Vendors</t>
        </is>
      </c>
      <c r="B26" s="22" t="n">
        <v>-3850000</v>
      </c>
      <c r="C26" s="22" t="n">
        <v>-3850000</v>
      </c>
    </row>
    <row r="27">
      <c r="A27" s="7" t="inlineStr">
        <is>
          <t>Retainage Reserve Account (Net)</t>
        </is>
      </c>
      <c r="B27" s="22" t="n">
        <v>0</v>
      </c>
      <c r="C27" s="22" t="n">
        <v>-4620000</v>
      </c>
    </row>
    <row r="28">
      <c r="A28" s="9" t="inlineStr">
        <is>
          <t>NET CASH FROM INVESTING ACTIVITIES</t>
        </is>
      </c>
      <c r="B28" s="10">
        <f>SUM(B25:B27)</f>
        <v/>
      </c>
      <c r="C28" s="10">
        <f>SUM(C25:C27)</f>
        <v/>
      </c>
    </row>
    <row r="30">
      <c r="A30" s="6" t="inlineStr">
        <is>
          <t>FINANCING ACTIVITIES</t>
        </is>
      </c>
    </row>
    <row r="31">
      <c r="A31" s="7" t="inlineStr">
        <is>
          <t>Proceeds from Equipment Financing Notes</t>
        </is>
      </c>
      <c r="B31" s="22" t="n">
        <v>0</v>
      </c>
      <c r="C31" s="22" t="n">
        <v>2200000</v>
      </c>
    </row>
    <row r="32">
      <c r="A32" s="7" t="inlineStr">
        <is>
          <t>Proceeds from Line of Credit</t>
        </is>
      </c>
      <c r="B32" s="22" t="n">
        <v>0</v>
      </c>
      <c r="C32" s="22" t="n">
        <v>850000</v>
      </c>
    </row>
    <row r="33">
      <c r="A33" s="7" t="inlineStr">
        <is>
          <t>Repayment of Equipment Notes</t>
        </is>
      </c>
      <c r="B33" s="22" t="n">
        <v>-55000</v>
      </c>
      <c r="C33" s="22" t="n">
        <v>-220000</v>
      </c>
    </row>
    <row r="34">
      <c r="A34" s="7" t="inlineStr">
        <is>
          <t>Owner Distributions</t>
        </is>
      </c>
      <c r="B34" s="22" t="n">
        <v>0</v>
      </c>
      <c r="C34" s="22" t="n">
        <v>-1800000</v>
      </c>
    </row>
    <row r="35">
      <c r="A35" s="9" t="inlineStr">
        <is>
          <t>NET CASH FROM FINANCING ACTIVITIES</t>
        </is>
      </c>
      <c r="B35" s="10">
        <f>SUM(B31:B34)</f>
        <v/>
      </c>
      <c r="C35" s="10">
        <f>SUM(C31:C34)</f>
        <v/>
      </c>
    </row>
    <row r="37">
      <c r="A37" s="9" t="inlineStr">
        <is>
          <t>NET INCREASE / (DECREASE) IN CASH</t>
        </is>
      </c>
      <c r="B37" s="26">
        <f>B22+B28+B35</f>
        <v/>
      </c>
      <c r="C37" s="26">
        <f>C22+C28+C35</f>
        <v/>
      </c>
    </row>
    <row r="38">
      <c r="A38" s="7" t="inlineStr">
        <is>
          <t>Cash at Beginning of Period (All Accounts)</t>
        </is>
      </c>
      <c r="B38" s="22" t="n">
        <v>15670000</v>
      </c>
      <c r="C38" s="22" t="n">
        <v>0</v>
      </c>
    </row>
    <row r="39">
      <c r="A39" s="14" t="inlineStr">
        <is>
          <t>CASH AT END OF PERIOD (ALL ACCOUNTS)</t>
        </is>
      </c>
      <c r="B39" s="15">
        <f>B37+B38</f>
        <v/>
      </c>
      <c r="C39" s="15">
        <f>C37+C38</f>
        <v/>
      </c>
    </row>
    <row r="41">
      <c r="A41" s="6" t="inlineStr">
        <is>
          <t>SUPPLEMENTAL CASH FLOW INFORMATION</t>
        </is>
      </c>
    </row>
    <row r="42">
      <c r="A42" s="7" t="inlineStr">
        <is>
          <t>Cash Paid for Interest</t>
        </is>
      </c>
      <c r="B42" s="22" t="n">
        <v>44000</v>
      </c>
      <c r="C42" s="22" t="n">
        <v>528000</v>
      </c>
    </row>
    <row r="43">
      <c r="A43" s="7" t="inlineStr">
        <is>
          <t>Cash Paid for Income Taxes</t>
        </is>
      </c>
      <c r="B43" s="22" t="n">
        <v>0</v>
      </c>
      <c r="C43" s="22" t="n">
        <v>0</v>
      </c>
    </row>
    <row r="44">
      <c r="A44" s="7" t="inlineStr">
        <is>
          <t>Non-Cash: Retainage Withheld by Developer (not received)</t>
        </is>
      </c>
      <c r="B44" s="22" t="n">
        <v>6270000</v>
      </c>
      <c r="C44" s="22" t="n">
        <v>6270000</v>
      </c>
    </row>
    <row r="45">
      <c r="A45" s="7" t="inlineStr">
        <is>
          <t>Non-Cash: Retainage Withheld from Subcontractors</t>
        </is>
      </c>
      <c r="B45" s="22" t="n">
        <v>5292000</v>
      </c>
      <c r="C45" s="22" t="n">
        <v>5292000</v>
      </c>
    </row>
    <row r="46">
      <c r="A46" s="7" t="inlineStr">
        <is>
          <t>Non-Cash: BIE Overbilling (billed but not earned)</t>
        </is>
      </c>
      <c r="B46" s="22" t="n">
        <v>6515400</v>
      </c>
      <c r="C46" s="22" t="n">
        <v>6515400</v>
      </c>
    </row>
    <row r="47">
      <c r="A47" s="7" t="inlineStr">
        <is>
          <t>Non-Cash: FF&amp;E Deposits on Long-Lead Items</t>
        </is>
      </c>
      <c r="B47" s="22" t="n">
        <v>3850000</v>
      </c>
      <c r="C47" s="22" t="n">
        <v>3850000</v>
      </c>
    </row>
    <row r="48">
      <c r="A48" s="7" t="inlineStr">
        <is>
          <t>Non-Cash: Pending CO-008 Not Included in Revenue</t>
        </is>
      </c>
      <c r="B48" s="22" t="n">
        <v>750000</v>
      </c>
      <c r="C48" s="22" t="n">
        <v>750000</v>
      </c>
    </row>
  </sheetData>
  <mergeCells count="7">
    <mergeCell ref="A41:C41"/>
    <mergeCell ref="A1:C1"/>
    <mergeCell ref="A5:C5"/>
    <mergeCell ref="A3:C3"/>
    <mergeCell ref="A30:C30"/>
    <mergeCell ref="A24:C2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0" customHeight="1">
      <c r="A1" s="18" t="inlineStr">
        <is>
          <t>PINNACLE BUILDS LLC — Work-In-Progress (WIP) Schedule</t>
        </is>
      </c>
    </row>
    <row r="2">
      <c r="A2" s="3" t="inlineStr">
        <is>
          <t>As of January 31, 2026  |  Lumière Brickell Marriott Autograph Collection (LBM-2024)  |  42-Story Luxury Hotel, Miami FL</t>
        </is>
      </c>
    </row>
    <row r="3" ht="28" customHeight="1">
      <c r="A3" s="33" t="inlineStr">
        <is>
          <t>Contract Line Item</t>
        </is>
      </c>
      <c r="B3" s="33" t="inlineStr">
        <is>
          <t>Original Contract</t>
        </is>
      </c>
      <c r="C3" s="33" t="inlineStr">
        <is>
          <t>Approved COs</t>
        </is>
      </c>
      <c r="D3" s="33" t="inlineStr">
        <is>
          <t>Revised Contract</t>
        </is>
      </c>
      <c r="E3" s="33" t="inlineStr">
        <is>
          <t>% Complete</t>
        </is>
      </c>
      <c r="F3" s="33" t="inlineStr">
        <is>
          <t>Revenue Earned</t>
        </is>
      </c>
      <c r="G3" s="33" t="inlineStr">
        <is>
          <t>Billed to Date</t>
        </is>
      </c>
      <c r="H3" s="33" t="inlineStr">
        <is>
          <t>BIE (Over) / CIE (Under)</t>
        </is>
      </c>
    </row>
    <row r="4">
      <c r="A4" s="34" t="inlineStr">
        <is>
          <t>Foundation &amp; Shoring</t>
        </is>
      </c>
      <c r="B4" s="35" t="n">
        <v>4200000</v>
      </c>
      <c r="C4" s="35" t="n">
        <v>0</v>
      </c>
      <c r="D4" s="35" t="n">
        <v>4200000</v>
      </c>
      <c r="E4" s="36" t="n">
        <v>1</v>
      </c>
      <c r="F4" s="35" t="n">
        <v>4200000</v>
      </c>
      <c r="G4" s="35" t="n">
        <v>4200000</v>
      </c>
      <c r="H4" s="37" t="n">
        <v>0</v>
      </c>
    </row>
    <row r="5">
      <c r="A5" s="38" t="inlineStr">
        <is>
          <t>Structural Concrete - Tower &amp; Podium</t>
        </is>
      </c>
      <c r="B5" s="22" t="n">
        <v>11500000</v>
      </c>
      <c r="C5" s="22" t="n">
        <v>0</v>
      </c>
      <c r="D5" s="22" t="n">
        <v>11500000</v>
      </c>
      <c r="E5" s="39" t="n">
        <v>1</v>
      </c>
      <c r="F5" s="22" t="n">
        <v>11500000</v>
      </c>
      <c r="G5" s="22" t="n">
        <v>11500000</v>
      </c>
      <c r="H5" s="40" t="n">
        <v>0</v>
      </c>
    </row>
    <row r="6">
      <c r="A6" s="34" t="inlineStr">
        <is>
          <t>Structural Steel - Roof &amp; Amenity</t>
        </is>
      </c>
      <c r="B6" s="35" t="n">
        <v>7800000</v>
      </c>
      <c r="C6" s="35" t="n">
        <v>0</v>
      </c>
      <c r="D6" s="35" t="n">
        <v>7800000</v>
      </c>
      <c r="E6" s="36" t="n">
        <v>0.9</v>
      </c>
      <c r="F6" s="35" t="n">
        <v>7020000</v>
      </c>
      <c r="G6" s="35" t="n">
        <v>7020000</v>
      </c>
      <c r="H6" s="37" t="n">
        <v>0</v>
      </c>
    </row>
    <row r="7">
      <c r="A7" s="38" t="inlineStr">
        <is>
          <t>Curtain Wall &amp; Building Envelope</t>
        </is>
      </c>
      <c r="B7" s="22" t="n">
        <v>5800000</v>
      </c>
      <c r="C7" s="22" t="n">
        <v>0</v>
      </c>
      <c r="D7" s="22" t="n">
        <v>5800000</v>
      </c>
      <c r="E7" s="39" t="n">
        <v>1</v>
      </c>
      <c r="F7" s="22" t="n">
        <v>5800000</v>
      </c>
      <c r="G7" s="22" t="n">
        <v>5800000</v>
      </c>
      <c r="H7" s="40" t="n">
        <v>0</v>
      </c>
    </row>
    <row r="8">
      <c r="A8" s="34" t="inlineStr">
        <is>
          <t>Roofing &amp; Waterproofing</t>
        </is>
      </c>
      <c r="B8" s="35" t="n">
        <v>2200000</v>
      </c>
      <c r="C8" s="35" t="n">
        <v>0</v>
      </c>
      <c r="D8" s="35" t="n">
        <v>2200000</v>
      </c>
      <c r="E8" s="36" t="n">
        <v>0.9</v>
      </c>
      <c r="F8" s="35" t="n">
        <v>1980000</v>
      </c>
      <c r="G8" s="35" t="n">
        <v>1980000</v>
      </c>
      <c r="H8" s="37" t="n">
        <v>0</v>
      </c>
    </row>
    <row r="9">
      <c r="A9" s="38" t="inlineStr">
        <is>
          <t>MEP - Mechanical HVAC &amp; Plumbing</t>
        </is>
      </c>
      <c r="B9" s="22" t="n">
        <v>14200000</v>
      </c>
      <c r="C9" s="22" t="n">
        <v>260000</v>
      </c>
      <c r="D9" s="22" t="n">
        <v>14460000</v>
      </c>
      <c r="E9" s="39" t="n">
        <v>0.72</v>
      </c>
      <c r="F9" s="22" t="n">
        <v>10395360</v>
      </c>
      <c r="G9" s="22" t="n">
        <v>12000000</v>
      </c>
      <c r="H9" s="41" t="n">
        <v>1604640</v>
      </c>
    </row>
    <row r="10">
      <c r="A10" s="34" t="inlineStr">
        <is>
          <t>Electrical</t>
        </is>
      </c>
      <c r="B10" s="35" t="n">
        <v>8400000</v>
      </c>
      <c r="C10" s="35" t="n">
        <v>245000</v>
      </c>
      <c r="D10" s="35" t="n">
        <v>8645000</v>
      </c>
      <c r="E10" s="36" t="n">
        <v>0.7</v>
      </c>
      <c r="F10" s="35" t="n">
        <v>6054500</v>
      </c>
      <c r="G10" s="35" t="n">
        <v>8000000</v>
      </c>
      <c r="H10" s="42" t="n">
        <v>1945500</v>
      </c>
    </row>
    <row r="11">
      <c r="A11" s="38" t="inlineStr">
        <is>
          <t>Fire Protection</t>
        </is>
      </c>
      <c r="B11" s="22" t="n">
        <v>1800000</v>
      </c>
      <c r="C11" s="22" t="n">
        <v>0</v>
      </c>
      <c r="D11" s="22" t="n">
        <v>1800000</v>
      </c>
      <c r="E11" s="39" t="n">
        <v>0.7</v>
      </c>
      <c r="F11" s="22" t="n">
        <v>1260000</v>
      </c>
      <c r="G11" s="22" t="n">
        <v>1260000</v>
      </c>
      <c r="H11" s="40" t="n">
        <v>0</v>
      </c>
    </row>
    <row r="12">
      <c r="A12" s="34" t="inlineStr">
        <is>
          <t>Interior Framing &amp; Drywall</t>
        </is>
      </c>
      <c r="B12" s="35" t="n">
        <v>6200000</v>
      </c>
      <c r="C12" s="35" t="n">
        <v>0</v>
      </c>
      <c r="D12" s="35" t="n">
        <v>6200000</v>
      </c>
      <c r="E12" s="36" t="n">
        <v>0.65</v>
      </c>
      <c r="F12" s="35" t="n">
        <v>4030000</v>
      </c>
      <c r="G12" s="35" t="n">
        <v>4030000</v>
      </c>
      <c r="H12" s="37" t="n">
        <v>0</v>
      </c>
    </row>
    <row r="13">
      <c r="A13" s="38" t="inlineStr">
        <is>
          <t>Marble &amp; Stone - Lobby and Amenities</t>
        </is>
      </c>
      <c r="B13" s="22" t="n">
        <v>2900000</v>
      </c>
      <c r="C13" s="22" t="n">
        <v>0</v>
      </c>
      <c r="D13" s="22" t="n">
        <v>2900000</v>
      </c>
      <c r="E13" s="39" t="n">
        <v>0.8</v>
      </c>
      <c r="F13" s="22" t="n">
        <v>2320000</v>
      </c>
      <c r="G13" s="22" t="n">
        <v>2320000</v>
      </c>
      <c r="H13" s="40" t="n">
        <v>0</v>
      </c>
    </row>
    <row r="14">
      <c r="A14" s="34" t="inlineStr">
        <is>
          <t>Pool Spa &amp; Water Features</t>
        </is>
      </c>
      <c r="B14" s="35" t="n">
        <v>3800000</v>
      </c>
      <c r="C14" s="35" t="n">
        <v>965000</v>
      </c>
      <c r="D14" s="35" t="n">
        <v>4765000</v>
      </c>
      <c r="E14" s="36" t="n">
        <v>0.6</v>
      </c>
      <c r="F14" s="35" t="n">
        <v>2805000</v>
      </c>
      <c r="G14" s="35" t="n">
        <v>2805000</v>
      </c>
      <c r="H14" s="37" t="n">
        <v>0</v>
      </c>
    </row>
    <row r="15">
      <c r="A15" s="38" t="inlineStr">
        <is>
          <t>AV &amp; Technology Systems</t>
        </is>
      </c>
      <c r="B15" s="22" t="n">
        <v>4100000</v>
      </c>
      <c r="C15" s="22" t="n">
        <v>0</v>
      </c>
      <c r="D15" s="22" t="n">
        <v>4100000</v>
      </c>
      <c r="E15" s="39" t="n">
        <v>0.2</v>
      </c>
      <c r="F15" s="22" t="n">
        <v>820000</v>
      </c>
      <c r="G15" s="22" t="n">
        <v>820000</v>
      </c>
      <c r="H15" s="40" t="n">
        <v>0</v>
      </c>
    </row>
    <row r="16">
      <c r="A16" s="34" t="inlineStr">
        <is>
          <t>Elevator - 10 Cabs</t>
        </is>
      </c>
      <c r="B16" s="35" t="n">
        <v>3200000</v>
      </c>
      <c r="C16" s="35" t="n">
        <v>0</v>
      </c>
      <c r="D16" s="35" t="n">
        <v>3200000</v>
      </c>
      <c r="E16" s="36" t="n">
        <v>0.45</v>
      </c>
      <c r="F16" s="35" t="n">
        <v>1440000</v>
      </c>
      <c r="G16" s="35" t="n">
        <v>1440000</v>
      </c>
      <c r="H16" s="37" t="n">
        <v>0</v>
      </c>
    </row>
    <row r="17">
      <c r="A17" s="38" t="inlineStr">
        <is>
          <t>Kitchen Equipment - All Outlets</t>
        </is>
      </c>
      <c r="B17" s="22" t="n">
        <v>2800000</v>
      </c>
      <c r="C17" s="22" t="n">
        <v>0</v>
      </c>
      <c r="D17" s="22" t="n">
        <v>2800000</v>
      </c>
      <c r="E17" s="39" t="n">
        <v>0.05</v>
      </c>
      <c r="F17" s="22" t="n">
        <v>140000</v>
      </c>
      <c r="G17" s="22" t="n">
        <v>140000</v>
      </c>
      <c r="H17" s="40" t="n">
        <v>0</v>
      </c>
    </row>
    <row r="18">
      <c r="A18" s="34" t="inlineStr">
        <is>
          <t>Masonry &amp; Tile</t>
        </is>
      </c>
      <c r="B18" s="35" t="n">
        <v>1600000</v>
      </c>
      <c r="C18" s="35" t="n">
        <v>0</v>
      </c>
      <c r="D18" s="35" t="n">
        <v>1600000</v>
      </c>
      <c r="E18" s="36" t="n">
        <v>0.7</v>
      </c>
      <c r="F18" s="35" t="n">
        <v>1120000</v>
      </c>
      <c r="G18" s="35" t="n">
        <v>1120000</v>
      </c>
      <c r="H18" s="37" t="n">
        <v>0</v>
      </c>
    </row>
    <row r="19">
      <c r="A19" s="38" t="inlineStr">
        <is>
          <t>Ballroom Theatrical AV &amp; Rigging (CO-002)</t>
        </is>
      </c>
      <c r="B19" s="22" t="n">
        <v>0</v>
      </c>
      <c r="C19" s="22" t="n">
        <v>680000</v>
      </c>
      <c r="D19" s="22" t="n">
        <v>680000</v>
      </c>
      <c r="E19" s="39" t="n">
        <v>0.1</v>
      </c>
      <c r="F19" s="22" t="n">
        <v>68000</v>
      </c>
      <c r="G19" s="22" t="n">
        <v>68000</v>
      </c>
      <c r="H19" s="40" t="n">
        <v>0</v>
      </c>
    </row>
    <row r="20">
      <c r="A20" s="34" t="inlineStr">
        <is>
          <t>EV Charging Stations - Garage (CO-007)</t>
        </is>
      </c>
      <c r="B20" s="35" t="n">
        <v>0</v>
      </c>
      <c r="C20" s="35" t="n">
        <v>380000</v>
      </c>
      <c r="D20" s="35" t="n">
        <v>380000</v>
      </c>
      <c r="E20" s="36" t="n">
        <v>0</v>
      </c>
      <c r="F20" s="35" t="n">
        <v>0</v>
      </c>
      <c r="G20" s="35" t="n">
        <v>0</v>
      </c>
      <c r="H20" s="37" t="n">
        <v>0</v>
      </c>
    </row>
    <row r="21">
      <c r="A21" s="38" t="inlineStr">
        <is>
          <t>FF&amp;E Procurement Management</t>
        </is>
      </c>
      <c r="B21" s="22" t="n">
        <v>680000</v>
      </c>
      <c r="C21" s="22" t="n">
        <v>0</v>
      </c>
      <c r="D21" s="22" t="n">
        <v>680000</v>
      </c>
      <c r="E21" s="39" t="n">
        <v>0.7</v>
      </c>
      <c r="F21" s="22" t="n">
        <v>476000</v>
      </c>
      <c r="G21" s="22" t="n">
        <v>476000</v>
      </c>
      <c r="H21" s="40" t="n">
        <v>0</v>
      </c>
    </row>
    <row r="22">
      <c r="A22" s="34" t="inlineStr">
        <is>
          <t>General Conditions &amp; Overhead</t>
        </is>
      </c>
      <c r="B22" s="35" t="n">
        <v>9320000</v>
      </c>
      <c r="C22" s="35" t="n">
        <v>0</v>
      </c>
      <c r="D22" s="35" t="n">
        <v>9320000</v>
      </c>
      <c r="E22" s="36" t="n">
        <v>0.58</v>
      </c>
      <c r="F22" s="35" t="n">
        <v>5405740</v>
      </c>
      <c r="G22" s="35" t="n">
        <v>7721000</v>
      </c>
      <c r="H22" s="42" t="n">
        <v>2315260</v>
      </c>
    </row>
    <row r="23">
      <c r="A23" s="43" t="inlineStr">
        <is>
          <t>TOTAL</t>
        </is>
      </c>
      <c r="B23" s="10">
        <f>SUM(B4:B22)</f>
        <v/>
      </c>
      <c r="C23" s="10">
        <f>SUM(C4:C22)</f>
        <v/>
      </c>
      <c r="D23" s="10">
        <f>SUM(D4:D22)</f>
        <v/>
      </c>
      <c r="E23" s="44" t="inlineStr"/>
      <c r="F23" s="10">
        <f>SUM(F4:F22)</f>
        <v/>
      </c>
      <c r="G23" s="10">
        <f>SUM(G4:G22)</f>
        <v/>
      </c>
      <c r="H23" s="10">
        <f>G23-F23</f>
        <v/>
      </c>
    </row>
    <row r="25">
      <c r="A25" s="45" t="inlineStr">
        <is>
          <t>NOTE: Positive BIE = Overbilling (liability). Negative BIE = Underbilling / CIE (asset). Total BIE should tie to Balance Sheet "Billings in Excess of Costs" of $6,515,400.</t>
        </is>
      </c>
    </row>
  </sheetData>
  <mergeCells count="3">
    <mergeCell ref="A25:H25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2026-02-18T02:43:06Z</dcterms:created>
  <dcterms:modified xmlns:dcterms="http://purl.org/dc/terms/" xmlns:xsi="http://www.w3.org/2001/XMLSchema-instance" xsi:type="dcterms:W3CDTF">2026-02-18T02:43:06Z</dcterms:modified>
</cp:coreProperties>
</file>