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 Statement" sheetId="3" state="visible" r:id="rId3"/>
    <sheet xmlns:r="http://schemas.openxmlformats.org/officeDocument/2006/relationships" name="WIP Schedu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;($#,##0);&quot;-&quot;"/>
    <numFmt numFmtId="165" formatCode="0.0%;(0.0%);&quot;-&quot;"/>
    <numFmt numFmtId="166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sz val="10"/>
    </font>
    <font>
      <name val="Arial"/>
      <i val="1"/>
      <sz val="10"/>
    </font>
    <font>
      <name val="Arial"/>
      <sz val="9"/>
    </font>
    <font>
      <name val="Arial"/>
      <sz val="10"/>
    </font>
    <font>
      <name val="Arial"/>
      <b val="1"/>
      <color rgb="001E8449"/>
      <sz val="10"/>
    </font>
    <font>
      <name val="Arial"/>
      <b val="1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5FA3"/>
      </patternFill>
    </fill>
    <fill>
      <patternFill patternType="solid">
        <fgColor rgb="00D5F5E3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top style="thin">
        <color rgb="00000000"/>
      </top>
      <bottom style="double">
        <color rgb="00000000"/>
      </bottom>
    </border>
    <border>
      <top style="thin"/>
      <bottom style="double"/>
    </border>
    <border>
      <top style="medium"/>
      <bottom style="double"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indent="1"/>
    </xf>
    <xf numFmtId="0" fontId="6" fillId="0" borderId="0" applyAlignment="1" pivotButton="0" quotePrefix="0" xfId="0">
      <alignment horizontal="left" indent="1"/>
    </xf>
    <xf numFmtId="164" fontId="6" fillId="0" borderId="0" applyAlignment="1" pivotButton="0" quotePrefix="0" xfId="0">
      <alignment horizontal="right"/>
    </xf>
    <xf numFmtId="0" fontId="7" fillId="3" borderId="0" applyAlignment="1" pivotButton="0" quotePrefix="0" xfId="0">
      <alignment horizontal="left"/>
    </xf>
    <xf numFmtId="164" fontId="8" fillId="3" borderId="1" applyAlignment="1" pivotButton="0" quotePrefix="0" xfId="0">
      <alignment horizontal="right"/>
    </xf>
    <xf numFmtId="0" fontId="7" fillId="5" borderId="0" applyAlignment="1" pivotButton="0" quotePrefix="0" xfId="0">
      <alignment horizontal="left"/>
    </xf>
    <xf numFmtId="164" fontId="8" fillId="5" borderId="0" applyAlignment="1" pivotButton="0" quotePrefix="0" xfId="0">
      <alignment horizontal="right"/>
    </xf>
    <xf numFmtId="165" fontId="9" fillId="0" borderId="0" applyAlignment="1" pivotButton="0" quotePrefix="0" xfId="0">
      <alignment horizontal="right"/>
    </xf>
    <xf numFmtId="164" fontId="8" fillId="3" borderId="2" applyAlignment="1" pivotButton="0" quotePrefix="0" xfId="0">
      <alignment horizontal="right"/>
    </xf>
    <xf numFmtId="0" fontId="4" fillId="2" borderId="0" applyAlignment="1" pivotButton="0" quotePrefix="0" xfId="0">
      <alignment horizontal="left"/>
    </xf>
    <xf numFmtId="164" fontId="4" fillId="2" borderId="3" applyAlignment="1" pivotButton="0" quotePrefix="0" xfId="0">
      <alignment horizontal="right"/>
    </xf>
    <xf numFmtId="0" fontId="5" fillId="4" borderId="0" pivotButton="0" quotePrefix="0" xfId="0"/>
    <xf numFmtId="0" fontId="10" fillId="6" borderId="0" pivotButton="0" quotePrefix="0" xfId="0"/>
    <xf numFmtId="0" fontId="2" fillId="2" borderId="0" applyAlignment="1" pivotButton="0" quotePrefix="0" xfId="0">
      <alignment horizontal="center"/>
    </xf>
    <xf numFmtId="0" fontId="0" fillId="4" borderId="0" pivotButton="0" quotePrefix="0" xfId="0"/>
    <xf numFmtId="164" fontId="11" fillId="0" borderId="0" applyAlignment="1" pivotButton="0" quotePrefix="0" xfId="0">
      <alignment horizontal="right"/>
    </xf>
    <xf numFmtId="0" fontId="0" fillId="7" borderId="0" pivotButton="0" quotePrefix="0" xfId="0"/>
    <xf numFmtId="0" fontId="5" fillId="4" borderId="0" applyAlignment="1" pivotButton="0" quotePrefix="0" xfId="0">
      <alignment horizontal="left" indent="1"/>
    </xf>
    <xf numFmtId="0" fontId="8" fillId="3" borderId="0" applyAlignment="1" pivotButton="0" quotePrefix="0" xfId="0">
      <alignment horizontal="left" indent="1"/>
    </xf>
    <xf numFmtId="0" fontId="6" fillId="4" borderId="0" applyAlignment="1" pivotButton="0" quotePrefix="0" xfId="0">
      <alignment horizontal="left" indent="1"/>
    </xf>
    <xf numFmtId="164" fontId="8" fillId="3" borderId="0" applyAlignment="1" pivotButton="0" quotePrefix="0" xfId="0">
      <alignment horizontal="right"/>
    </xf>
    <xf numFmtId="0" fontId="5" fillId="2" borderId="0" applyAlignment="1" pivotButton="0" quotePrefix="0" xfId="0">
      <alignment horizontal="left"/>
    </xf>
    <xf numFmtId="164" fontId="5" fillId="2" borderId="0" applyAlignment="1" pivotButton="0" quotePrefix="0" xfId="0">
      <alignment horizontal="right"/>
    </xf>
    <xf numFmtId="0" fontId="6" fillId="3" borderId="0" applyAlignment="1" pivotButton="0" quotePrefix="0" xfId="0">
      <alignment horizontal="left" indent="1"/>
    </xf>
    <xf numFmtId="0" fontId="8" fillId="3" borderId="0" applyAlignment="1" pivotButton="0" quotePrefix="0" xfId="0">
      <alignment horizontal="left"/>
    </xf>
    <xf numFmtId="0" fontId="4" fillId="2" borderId="0" pivotButton="0" quotePrefix="0" xfId="0"/>
    <xf numFmtId="0" fontId="12" fillId="5" borderId="0" pivotButton="0" quotePrefix="0" xfId="0"/>
    <xf numFmtId="0" fontId="7" fillId="0" borderId="0" applyAlignment="1" pivotButton="0" quotePrefix="0" xfId="0">
      <alignment horizontal="left" indent="1"/>
    </xf>
    <xf numFmtId="0" fontId="5" fillId="4" borderId="0" applyAlignment="1" pivotButton="0" quotePrefix="0" xfId="0">
      <alignment horizontal="center" wrapText="1"/>
    </xf>
    <xf numFmtId="0" fontId="11" fillId="6" borderId="0" applyAlignment="1" pivotButton="0" quotePrefix="0" xfId="0">
      <alignment horizontal="left" indent="1"/>
    </xf>
    <xf numFmtId="164" fontId="11" fillId="6" borderId="0" applyAlignment="1" pivotButton="0" quotePrefix="0" xfId="0">
      <alignment horizontal="right"/>
    </xf>
    <xf numFmtId="166" fontId="11" fillId="6" borderId="0" applyAlignment="1" pivotButton="0" quotePrefix="0" xfId="0">
      <alignment horizontal="center"/>
    </xf>
    <xf numFmtId="164" fontId="12" fillId="6" borderId="0" applyAlignment="1" pivotButton="0" quotePrefix="0" xfId="0">
      <alignment horizontal="right"/>
    </xf>
    <xf numFmtId="0" fontId="11" fillId="0" borderId="0" applyAlignment="1" pivotButton="0" quotePrefix="0" xfId="0">
      <alignment horizontal="left" indent="1"/>
    </xf>
    <xf numFmtId="166" fontId="11" fillId="0" borderId="0" applyAlignment="1" pivotButton="0" quotePrefix="0" xfId="0">
      <alignment horizontal="center"/>
    </xf>
    <xf numFmtId="164" fontId="12" fillId="0" borderId="0" applyAlignment="1" pivotButton="0" quotePrefix="0" xfId="0">
      <alignment horizontal="right"/>
    </xf>
    <xf numFmtId="164" fontId="13" fillId="0" borderId="0" applyAlignment="1" pivotButton="0" quotePrefix="0" xfId="0">
      <alignment horizontal="right"/>
    </xf>
    <xf numFmtId="0" fontId="8" fillId="3" borderId="2" applyAlignment="1" pivotButton="0" quotePrefix="0" xfId="0">
      <alignment horizontal="left" indent="1"/>
    </xf>
    <xf numFmtId="0" fontId="8" fillId="3" borderId="2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</cols>
  <sheetData>
    <row r="1" ht="22" customHeight="1">
      <c r="A1" s="1" t="inlineStr">
        <is>
          <t>APEX GOVERNMENT CONSTRUCTION LLC</t>
        </is>
      </c>
    </row>
    <row r="2" ht="18" customHeight="1">
      <c r="A2" s="2" t="inlineStr">
        <is>
          <t>Profit &amp; Loss Statement</t>
        </is>
      </c>
    </row>
    <row r="3" ht="16" customHeight="1">
      <c r="A3" s="3" t="inlineStr">
        <is>
          <t>Project: Federal District Courthouse &amp; Public Safety Complex (FDC-2024)</t>
        </is>
      </c>
    </row>
    <row r="4" ht="20" customHeight="1">
      <c r="A4" s="4" t="inlineStr">
        <is>
          <t>Description</t>
        </is>
      </c>
      <c r="B4" s="5" t="inlineStr">
        <is>
          <t>YTD (Jan 2026)</t>
        </is>
      </c>
      <c r="C4" s="5" t="inlineStr">
        <is>
          <t>Project-to-Date</t>
        </is>
      </c>
      <c r="D4" s="5" t="inlineStr">
        <is>
          <t>Full Project Est.</t>
        </is>
      </c>
    </row>
    <row r="5">
      <c r="A5" s="6" t="inlineStr">
        <is>
          <t>REVENUE</t>
        </is>
      </c>
    </row>
    <row r="6">
      <c r="A6" s="7" t="inlineStr">
        <is>
          <t>Contract Revenue - Government (GSA Prime)</t>
        </is>
      </c>
      <c r="B6" s="8" t="n">
        <v>6400000</v>
      </c>
      <c r="C6" s="8" t="n">
        <v>37000000</v>
      </c>
      <c r="D6" s="8" t="n">
        <v>68500000</v>
      </c>
    </row>
    <row r="7">
      <c r="A7" s="7" t="inlineStr">
        <is>
          <t>Change Order Revenue (Approved)</t>
        </is>
      </c>
      <c r="B7" s="8" t="n">
        <v>0</v>
      </c>
      <c r="C7" s="8" t="n">
        <v>2564200</v>
      </c>
      <c r="D7" s="8" t="n">
        <v>7585000</v>
      </c>
    </row>
    <row r="8">
      <c r="A8" s="7" t="inlineStr">
        <is>
          <t>Federal Grant Revenue (GSA Appropriation)</t>
        </is>
      </c>
      <c r="B8" s="8" t="n">
        <v>200000</v>
      </c>
      <c r="C8" s="8" t="n">
        <v>8200000</v>
      </c>
      <c r="D8" s="8" t="n">
        <v>10000000</v>
      </c>
    </row>
    <row r="9">
      <c r="A9" s="7" t="inlineStr">
        <is>
          <t>State Appropriation Revenue</t>
        </is>
      </c>
      <c r="B9" s="8" t="n">
        <v>0</v>
      </c>
      <c r="C9" s="8" t="n">
        <v>4100000</v>
      </c>
      <c r="D9" s="8" t="n">
        <v>6000000</v>
      </c>
    </row>
    <row r="10">
      <c r="A10" s="7" t="inlineStr">
        <is>
          <t>CDBG Grant Revenue</t>
        </is>
      </c>
      <c r="B10" s="8" t="n">
        <v>0</v>
      </c>
      <c r="C10" s="8" t="n">
        <v>2000000</v>
      </c>
      <c r="D10" s="8" t="n">
        <v>2500000</v>
      </c>
    </row>
    <row r="11">
      <c r="A11" s="7" t="inlineStr">
        <is>
          <t>Bond Premium Revenue</t>
        </is>
      </c>
      <c r="B11" s="8" t="n">
        <v>57083</v>
      </c>
      <c r="C11" s="8" t="n">
        <v>685000</v>
      </c>
      <c r="D11" s="8" t="n">
        <v>685000</v>
      </c>
    </row>
    <row r="12">
      <c r="A12" s="9" t="inlineStr">
        <is>
          <t>TOTAL REVENUE</t>
        </is>
      </c>
      <c r="B12" s="10">
        <f>SUM(B6:B11)</f>
        <v/>
      </c>
      <c r="C12" s="10">
        <f>SUM(C6:C11)</f>
        <v/>
      </c>
      <c r="D12" s="10">
        <f>SUM(D6:D11)</f>
        <v/>
      </c>
    </row>
    <row r="14">
      <c r="A14" s="6" t="inlineStr">
        <is>
          <t>COST OF REVENUE (DIRECT COSTS)</t>
        </is>
      </c>
    </row>
    <row r="15">
      <c r="A15" s="7" t="inlineStr">
        <is>
          <t>Direct Labor (Prevailing Wage / Davis-Bacon)</t>
        </is>
      </c>
      <c r="B15" s="8" t="n">
        <v>320000</v>
      </c>
      <c r="C15" s="8" t="n">
        <v>3200000</v>
      </c>
      <c r="D15" s="8" t="n">
        <v>6200000</v>
      </c>
    </row>
    <row r="16">
      <c r="A16" s="7" t="inlineStr">
        <is>
          <t>Subcontractor Costs</t>
        </is>
      </c>
      <c r="B16" s="8" t="n">
        <v>520000</v>
      </c>
      <c r="C16" s="8" t="n">
        <v>28175000</v>
      </c>
      <c r="D16" s="8" t="n">
        <v>54175000</v>
      </c>
    </row>
    <row r="17">
      <c r="A17" s="7" t="inlineStr">
        <is>
          <t>Materials &amp; Supplies</t>
        </is>
      </c>
      <c r="B17" s="8" t="n">
        <v>145000</v>
      </c>
      <c r="C17" s="8" t="n">
        <v>1450000</v>
      </c>
      <c r="D17" s="8" t="n">
        <v>2800000</v>
      </c>
    </row>
    <row r="18">
      <c r="A18" s="7" t="inlineStr">
        <is>
          <t>Equipment Costs</t>
        </is>
      </c>
      <c r="B18" s="8" t="n">
        <v>42000</v>
      </c>
      <c r="C18" s="8" t="n">
        <v>420000</v>
      </c>
      <c r="D18" s="8" t="n">
        <v>820000</v>
      </c>
    </row>
    <row r="19">
      <c r="A19" s="7" t="inlineStr">
        <is>
          <t>Davis-Bacon Compliance Costs</t>
        </is>
      </c>
      <c r="B19" s="8" t="n">
        <v>9250</v>
      </c>
      <c r="C19" s="8" t="n">
        <v>92500</v>
      </c>
      <c r="D19" s="8" t="n">
        <v>185000</v>
      </c>
    </row>
    <row r="20">
      <c r="A20" s="7" t="inlineStr">
        <is>
          <t>Section 3 Compliance Costs</t>
        </is>
      </c>
      <c r="B20" s="8" t="n">
        <v>4800</v>
      </c>
      <c r="C20" s="8" t="n">
        <v>48000</v>
      </c>
      <c r="D20" s="8" t="n">
        <v>96000</v>
      </c>
    </row>
    <row r="21">
      <c r="A21" s="7" t="inlineStr">
        <is>
          <t>Other Direct Costs (Permits, Testing, Fees)</t>
        </is>
      </c>
      <c r="B21" s="8" t="n">
        <v>13900</v>
      </c>
      <c r="C21" s="8" t="n">
        <v>139000</v>
      </c>
      <c r="D21" s="8" t="n">
        <v>270000</v>
      </c>
    </row>
    <row r="22">
      <c r="A22" s="9" t="inlineStr">
        <is>
          <t>TOTAL COST OF REVENUE</t>
        </is>
      </c>
      <c r="B22" s="10">
        <f>SUM(B15:B21)</f>
        <v/>
      </c>
      <c r="C22" s="10">
        <f>SUM(C15:C21)</f>
        <v/>
      </c>
      <c r="D22" s="10">
        <f>SUM(D15:D21)</f>
        <v/>
      </c>
    </row>
    <row r="23">
      <c r="A23" s="11" t="inlineStr">
        <is>
          <t>GROSS PROFIT</t>
        </is>
      </c>
      <c r="B23" s="12">
        <f>B12-B22</f>
        <v/>
      </c>
      <c r="C23" s="12">
        <f>C12-C22</f>
        <v/>
      </c>
      <c r="D23" s="12">
        <f>D12-D22</f>
        <v/>
      </c>
    </row>
    <row r="24">
      <c r="A24" s="7" t="inlineStr">
        <is>
          <t>Gross Margin %</t>
        </is>
      </c>
      <c r="B24" s="13">
        <f>IF(B12=0,0,B23/B12)</f>
        <v/>
      </c>
      <c r="C24" s="13">
        <f>IF(C12=0,0,C23/C12)</f>
        <v/>
      </c>
      <c r="D24" s="13">
        <f>IF(D12=0,0,D23/D12)</f>
        <v/>
      </c>
    </row>
    <row r="26">
      <c r="A26" s="6" t="inlineStr">
        <is>
          <t>GENERAL &amp; ADMINISTRATIVE EXPENSES</t>
        </is>
      </c>
    </row>
    <row r="27">
      <c r="A27" s="7" t="inlineStr">
        <is>
          <t>Project Management Salaries</t>
        </is>
      </c>
      <c r="B27" s="8" t="n">
        <v>233333</v>
      </c>
      <c r="C27" s="8" t="n">
        <v>2800000</v>
      </c>
      <c r="D27" s="8" t="n">
        <v>2800000</v>
      </c>
    </row>
    <row r="28">
      <c r="A28" s="7" t="inlineStr">
        <is>
          <t>General &amp; Administrative Overhead</t>
        </is>
      </c>
      <c r="B28" s="8" t="n">
        <v>100000</v>
      </c>
      <c r="C28" s="8" t="n">
        <v>1200000</v>
      </c>
      <c r="D28" s="8" t="n">
        <v>1200000</v>
      </c>
    </row>
    <row r="29">
      <c r="A29" s="7" t="inlineStr">
        <is>
          <t>Insurance (GL, Umbrella, Workers Comp)</t>
        </is>
      </c>
      <c r="B29" s="8" t="n">
        <v>70833</v>
      </c>
      <c r="C29" s="8" t="n">
        <v>850000</v>
      </c>
      <c r="D29" s="8" t="n">
        <v>850000</v>
      </c>
    </row>
    <row r="30">
      <c r="A30" s="7" t="inlineStr">
        <is>
          <t>Bonds (Performance, Payment, Bid)</t>
        </is>
      </c>
      <c r="B30" s="8" t="n">
        <v>57083</v>
      </c>
      <c r="C30" s="8" t="n">
        <v>685000</v>
      </c>
      <c r="D30" s="8" t="n">
        <v>685000</v>
      </c>
    </row>
    <row r="31">
      <c r="A31" s="7" t="inlineStr">
        <is>
          <t>Depreciation - Equipment</t>
        </is>
      </c>
      <c r="B31" s="8" t="n">
        <v>35417</v>
      </c>
      <c r="C31" s="8" t="n">
        <v>425000</v>
      </c>
      <c r="D31" s="8" t="n">
        <v>425000</v>
      </c>
    </row>
    <row r="32">
      <c r="A32" s="7" t="inlineStr">
        <is>
          <t>Professional Fees (Legal, Accounting)</t>
        </is>
      </c>
      <c r="B32" s="8" t="n">
        <v>23333</v>
      </c>
      <c r="C32" s="8" t="n">
        <v>280000</v>
      </c>
      <c r="D32" s="8" t="n">
        <v>280000</v>
      </c>
    </row>
    <row r="33">
      <c r="A33" s="7" t="inlineStr">
        <is>
          <t>Marketing &amp; Business Development</t>
        </is>
      </c>
      <c r="B33" s="8" t="n">
        <v>10000</v>
      </c>
      <c r="C33" s="8" t="n">
        <v>120000</v>
      </c>
      <c r="D33" s="8" t="n">
        <v>120000</v>
      </c>
    </row>
    <row r="34">
      <c r="A34" s="7" t="inlineStr">
        <is>
          <t>Office &amp; Facilities</t>
        </is>
      </c>
      <c r="B34" s="8" t="n">
        <v>20000</v>
      </c>
      <c r="C34" s="8" t="n">
        <v>240000</v>
      </c>
      <c r="D34" s="8" t="n">
        <v>240000</v>
      </c>
    </row>
    <row r="35">
      <c r="A35" s="7" t="inlineStr">
        <is>
          <t>Vehicle &amp; Travel</t>
        </is>
      </c>
      <c r="B35" s="8" t="n">
        <v>7917</v>
      </c>
      <c r="C35" s="8" t="n">
        <v>95000</v>
      </c>
      <c r="D35" s="8" t="n">
        <v>95000</v>
      </c>
    </row>
    <row r="36">
      <c r="A36" s="7" t="inlineStr">
        <is>
          <t>IT &amp; Software</t>
        </is>
      </c>
      <c r="B36" s="8" t="n">
        <v>7083</v>
      </c>
      <c r="C36" s="8" t="n">
        <v>85000</v>
      </c>
      <c r="D36" s="8" t="n">
        <v>85000</v>
      </c>
    </row>
    <row r="37">
      <c r="A37" s="9" t="inlineStr">
        <is>
          <t>TOTAL G&amp;A EXPENSES</t>
        </is>
      </c>
      <c r="B37" s="10">
        <f>SUM(B27:B36)</f>
        <v/>
      </c>
      <c r="C37" s="10">
        <f>SUM(C27:C36)</f>
        <v/>
      </c>
      <c r="D37" s="10">
        <f>SUM(D27:D36)</f>
        <v/>
      </c>
    </row>
    <row r="38">
      <c r="A38" s="9" t="inlineStr">
        <is>
          <t>OPERATING INCOME (EBIT)</t>
        </is>
      </c>
      <c r="B38" s="14">
        <f>B23-B37</f>
        <v/>
      </c>
      <c r="C38" s="14">
        <f>C23-C37</f>
        <v/>
      </c>
      <c r="D38" s="14">
        <f>D23-D37</f>
        <v/>
      </c>
    </row>
    <row r="40">
      <c r="A40" s="6" t="inlineStr">
        <is>
          <t>OTHER INCOME / (EXPENSE)</t>
        </is>
      </c>
    </row>
    <row r="41">
      <c r="A41" s="7" t="inlineStr">
        <is>
          <t>Interest Expense</t>
        </is>
      </c>
      <c r="B41" s="8" t="n">
        <v>-38000</v>
      </c>
      <c r="C41" s="8" t="n">
        <v>-456000</v>
      </c>
      <c r="D41" s="8" t="n">
        <v>-456000</v>
      </c>
    </row>
    <row r="42">
      <c r="A42" s="7" t="inlineStr">
        <is>
          <t>Other Income (Miscellaneous)</t>
        </is>
      </c>
      <c r="B42" s="8" t="n">
        <v>0</v>
      </c>
      <c r="C42" s="8" t="n">
        <v>12000</v>
      </c>
      <c r="D42" s="8" t="n">
        <v>12000</v>
      </c>
    </row>
    <row r="43">
      <c r="A43" s="9" t="inlineStr">
        <is>
          <t>TOTAL OTHER INCOME / (EXPENSE)</t>
        </is>
      </c>
      <c r="B43" s="10">
        <f>B41+B42</f>
        <v/>
      </c>
      <c r="C43" s="10">
        <f>C41+C42</f>
        <v/>
      </c>
      <c r="D43" s="10">
        <f>D41+D42</f>
        <v/>
      </c>
    </row>
    <row r="44">
      <c r="A44" s="15" t="inlineStr">
        <is>
          <t>NET INCOME</t>
        </is>
      </c>
      <c r="B44" s="16">
        <f>B38+B43</f>
        <v/>
      </c>
      <c r="C44" s="16">
        <f>C38+C43</f>
        <v/>
      </c>
      <c r="D44" s="16">
        <f>D38+D43</f>
        <v/>
      </c>
    </row>
    <row r="45">
      <c r="A45" s="7" t="inlineStr">
        <is>
          <t>Net Margin %</t>
        </is>
      </c>
      <c r="B45" s="13">
        <f>IF(B12=0,0,B44/B12)</f>
        <v/>
      </c>
      <c r="C45" s="13">
        <f>IF(C12=0,0,C44/C12)</f>
        <v/>
      </c>
      <c r="D45" s="13">
        <f>IF(D12=0,0,D44/D12)</f>
        <v/>
      </c>
    </row>
    <row r="47">
      <c r="A47" s="17" t="inlineStr">
        <is>
          <t>KEY NOTES &amp; RECONCILIATION POINTERS</t>
        </is>
      </c>
    </row>
    <row r="48" ht="14" customHeight="1">
      <c r="A48" s="18" t="inlineStr">
        <is>
          <t xml:space="preserve">  • Revenue Recognition: Percentage-of-completion method per ASC 606. 52% complete as of Jan 31, 2026.</t>
        </is>
      </c>
    </row>
    <row r="49" ht="14" customHeight="1">
      <c r="A49" s="18" t="inlineStr">
        <is>
          <t xml:space="preserve">  • Grant Revenue: Federal (GSA) and CDBG grants recognized as contract revenue is earned. State appropriation recognized upon draw.</t>
        </is>
      </c>
    </row>
    <row r="50" ht="14" customHeight="1">
      <c r="A50" s="18" t="inlineStr">
        <is>
          <t xml:space="preserve">  • Approved Change Orders (CO-001 thru CO-006): $7,585,000 included in contract value. CO-007 ($750,000) pending approval - NOT included.</t>
        </is>
      </c>
    </row>
    <row r="51" ht="14" customHeight="1">
      <c r="A51" s="18" t="inlineStr">
        <is>
          <t xml:space="preserve">  • Davis-Bacon: Prevailing wage compliance costs separately tracked per FAR 22.4 requirements.</t>
        </is>
      </c>
    </row>
    <row r="52" ht="14" customHeight="1">
      <c r="A52" s="18" t="inlineStr">
        <is>
          <t xml:space="preserve">  • Section 3: HUD compliance costs and workforce goals (target 25% labor hours) tracked separately.</t>
        </is>
      </c>
    </row>
    <row r="53" ht="14" customHeight="1">
      <c r="A53" s="18" t="inlineStr">
        <is>
          <t xml:space="preserve">  • Subcontractor Retainage: 10% withheld from all subs. $2,817,500 in retainage payable to subs at project-to-date.</t>
        </is>
      </c>
    </row>
    <row r="54" ht="14" customHeight="1">
      <c r="A54" s="18" t="inlineStr">
        <is>
          <t xml:space="preserve">  • Owner Retainage: GSA withholding 10% = $3,820,000. Shown in Accounts Receivable on Balance Sheet.</t>
        </is>
      </c>
    </row>
    <row r="55" ht="14" customHeight="1">
      <c r="A55" s="18" t="inlineStr">
        <is>
          <t xml:space="preserve">  • Underbilling (CIE): $1,364,200 costs in excess of billings recognized in revenue but not yet billed to GSA.</t>
        </is>
      </c>
    </row>
    <row r="56" ht="14" customHeight="1">
      <c r="A56" s="18" t="inlineStr">
        <is>
          <t xml:space="preserve">  • LEED Gold: Commissioning and certification costs included in Other Direct Costs and Professional Fees.</t>
        </is>
      </c>
    </row>
    <row r="57" ht="14" customHeight="1">
      <c r="A57" s="18" t="inlineStr">
        <is>
          <t xml:space="preserve">  • Security Clearance Work: Classified scope billed separately under secure supplement to prime contract.</t>
        </is>
      </c>
    </row>
  </sheetData>
  <mergeCells count="19">
    <mergeCell ref="A5:D5"/>
    <mergeCell ref="A53:D53"/>
    <mergeCell ref="A52:D52"/>
    <mergeCell ref="A44"/>
    <mergeCell ref="A40:D40"/>
    <mergeCell ref="A48:D48"/>
    <mergeCell ref="A51:D51"/>
    <mergeCell ref="A49:D49"/>
    <mergeCell ref="A1:D1"/>
    <mergeCell ref="A54:D54"/>
    <mergeCell ref="A56:D56"/>
    <mergeCell ref="A50:D50"/>
    <mergeCell ref="A3:D3"/>
    <mergeCell ref="A26:D26"/>
    <mergeCell ref="A55:D55"/>
    <mergeCell ref="A57:D57"/>
    <mergeCell ref="A2:D2"/>
    <mergeCell ref="A47:D47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4" customWidth="1" min="3" max="3"/>
    <col width="18" customWidth="1" min="4" max="4"/>
  </cols>
  <sheetData>
    <row r="1" ht="22" customHeight="1">
      <c r="A1" s="1" t="inlineStr">
        <is>
          <t>APEX GOVERNMENT CONSTRUCTION LLC</t>
        </is>
      </c>
    </row>
    <row r="2">
      <c r="A2" s="19" t="inlineStr">
        <is>
          <t>Balance Sheet — As of January 31, 2026</t>
        </is>
      </c>
    </row>
    <row r="3">
      <c r="A3" s="3" t="inlineStr">
        <is>
          <t>Project: Federal District Courthouse &amp; Public Safety Complex (FDC-2024)</t>
        </is>
      </c>
    </row>
    <row r="4">
      <c r="A4" s="4" t="inlineStr">
        <is>
          <t>ASSETS</t>
        </is>
      </c>
      <c r="B4" s="5" t="inlineStr">
        <is>
          <t>Amount ($)</t>
        </is>
      </c>
      <c r="C4" s="20" t="n"/>
      <c r="D4" s="5" t="inlineStr">
        <is>
          <t>Amount ($)</t>
        </is>
      </c>
    </row>
    <row r="5">
      <c r="A5" s="6" t="inlineStr">
        <is>
          <t>CURRENT ASSETS</t>
        </is>
      </c>
      <c r="D5" s="6" t="inlineStr">
        <is>
          <t>LIABILITIES &amp; EQUITY</t>
        </is>
      </c>
    </row>
    <row r="6">
      <c r="A6" s="7" t="inlineStr">
        <is>
          <t>Cash &amp; Equivalents - Operating</t>
        </is>
      </c>
      <c r="B6" s="21" t="n">
        <v>3850000</v>
      </c>
      <c r="C6" s="22" t="n"/>
      <c r="D6" s="23" t="inlineStr">
        <is>
          <t>CURRENT LIABILITIES</t>
        </is>
      </c>
    </row>
    <row r="7">
      <c r="A7" s="7" t="inlineStr">
        <is>
          <t>Accounts Payable - Subcontractors</t>
        </is>
      </c>
      <c r="B7" s="21" t="n">
        <v>925000</v>
      </c>
      <c r="C7" s="22" t="n"/>
      <c r="D7" s="21" t="n">
        <v>5217000</v>
      </c>
    </row>
    <row r="8">
      <c r="A8" s="7" t="inlineStr">
        <is>
          <t>Accounts Payable - Materials/Vendors</t>
        </is>
      </c>
      <c r="B8" s="21" t="n">
        <v>8200000</v>
      </c>
      <c r="C8" s="22" t="n"/>
      <c r="D8" s="21" t="n">
        <v>1589000</v>
      </c>
    </row>
    <row r="9">
      <c r="A9" s="7" t="inlineStr">
        <is>
          <t>Retainage Payable to Subcontractors</t>
        </is>
      </c>
      <c r="B9" s="21" t="n">
        <v>4100000</v>
      </c>
      <c r="C9" s="22" t="n"/>
      <c r="D9" s="21" t="n">
        <v>2817500</v>
      </c>
    </row>
    <row r="10">
      <c r="A10" s="7" t="inlineStr">
        <is>
          <t>Accrued Wages &amp; Benefits</t>
        </is>
      </c>
      <c r="B10" s="21" t="n">
        <v>1850000</v>
      </c>
      <c r="C10" s="22" t="n"/>
      <c r="D10" s="21" t="n">
        <v>3200000</v>
      </c>
    </row>
    <row r="11">
      <c r="A11" s="7" t="inlineStr">
        <is>
          <t>Accrued Taxes - Payroll &amp; Income</t>
        </is>
      </c>
      <c r="B11" s="21" t="n">
        <v>6400000</v>
      </c>
      <c r="C11" s="22" t="n"/>
      <c r="D11" s="21" t="n">
        <v>485000</v>
      </c>
    </row>
    <row r="12">
      <c r="A12" s="7" t="inlineStr">
        <is>
          <t>Accrued G&amp;A Expenses</t>
        </is>
      </c>
      <c r="B12" s="21" t="n">
        <v>3820000</v>
      </c>
      <c r="C12" s="22" t="n"/>
      <c r="D12" s="21" t="n">
        <v>565000</v>
      </c>
    </row>
    <row r="13">
      <c r="A13" s="7" t="inlineStr">
        <is>
          <t>Workers Comp Reserve</t>
        </is>
      </c>
      <c r="B13" s="21" t="n">
        <v>1364200</v>
      </c>
      <c r="C13" s="22" t="n"/>
      <c r="D13" s="21" t="n">
        <v>142000</v>
      </c>
    </row>
    <row r="14">
      <c r="A14" s="7" t="inlineStr">
        <is>
          <t>Deferred Revenue - Unearned Grant Funds</t>
        </is>
      </c>
      <c r="B14" s="21" t="n">
        <v>285000</v>
      </c>
      <c r="C14" s="22" t="n"/>
      <c r="D14" s="21" t="n">
        <v>0</v>
      </c>
    </row>
    <row r="15">
      <c r="A15" s="24" t="inlineStr">
        <is>
          <t>TOTAL CURRENT LIABILITIES</t>
        </is>
      </c>
      <c r="B15" s="21" t="n">
        <v>142000</v>
      </c>
      <c r="C15" s="22" t="n"/>
      <c r="D15" s="14">
        <f>SUM(D7:D14)</f>
        <v/>
      </c>
    </row>
    <row r="16">
      <c r="A16" s="9" t="inlineStr">
        <is>
          <t>TOTAL CURRENT ASSETS</t>
        </is>
      </c>
      <c r="B16" s="14">
        <f>SUM(B6:B15)</f>
        <v/>
      </c>
    </row>
    <row r="17">
      <c r="D17" s="23" t="inlineStr">
        <is>
          <t>LONG-TERM LIABILITIES</t>
        </is>
      </c>
    </row>
    <row r="18">
      <c r="A18" s="25" t="inlineStr">
        <is>
          <t>Notes Payable - Equipment Financing</t>
        </is>
      </c>
      <c r="D18" s="21" t="n">
        <v>1850000</v>
      </c>
    </row>
    <row r="19">
      <c r="A19" s="7" t="inlineStr">
        <is>
          <t>Performance Bond Reserve</t>
        </is>
      </c>
      <c r="B19" s="21" t="n">
        <v>3075000</v>
      </c>
      <c r="C19" s="22" t="n"/>
      <c r="D19" s="21" t="n">
        <v>456000</v>
      </c>
    </row>
    <row r="20">
      <c r="A20" s="24" t="inlineStr">
        <is>
          <t>TOTAL LONG-TERM LIABILITIES</t>
        </is>
      </c>
      <c r="B20" s="21" t="n">
        <v>-425000</v>
      </c>
      <c r="C20" s="22" t="n"/>
      <c r="D20" s="26">
        <f>SUM(D18:D19)</f>
        <v/>
      </c>
    </row>
    <row r="21">
      <c r="A21" s="27" t="inlineStr">
        <is>
          <t>TOTAL LIABILITIES</t>
        </is>
      </c>
      <c r="B21" s="14">
        <f>SUM(B19:B20)</f>
        <v/>
      </c>
      <c r="D21" s="28">
        <f>D15+D20</f>
        <v/>
      </c>
    </row>
    <row r="23">
      <c r="A23" s="6" t="inlineStr">
        <is>
          <t>OTHER ASSETS</t>
        </is>
      </c>
      <c r="D23" s="23" t="inlineStr">
        <is>
          <t>STOCKHOLDERS' EQUITY</t>
        </is>
      </c>
    </row>
    <row r="24">
      <c r="A24" s="7" t="inlineStr">
        <is>
          <t>Common Stock</t>
        </is>
      </c>
      <c r="B24" s="21" t="n">
        <v>125000</v>
      </c>
      <c r="C24" s="22" t="n"/>
      <c r="D24" s="21" t="n">
        <v>500000</v>
      </c>
    </row>
    <row r="25">
      <c r="A25" s="7" t="inlineStr">
        <is>
          <t>Retained Earnings (Prior Years)</t>
        </is>
      </c>
      <c r="B25" s="21" t="n">
        <v>2340000</v>
      </c>
      <c r="C25" s="22" t="n"/>
      <c r="D25" s="21" t="n">
        <v>7842000</v>
      </c>
    </row>
    <row r="26">
      <c r="A26" s="29" t="inlineStr">
        <is>
          <t>Current Year Net Income (YTD)</t>
        </is>
      </c>
      <c r="B26" s="26">
        <f>SUM(B24:B25)</f>
        <v/>
      </c>
      <c r="D26" s="21" t="n">
        <v>603083</v>
      </c>
    </row>
    <row r="27">
      <c r="A27" s="30" t="inlineStr">
        <is>
          <t>TOTAL STOCKHOLDERS' EQUITY</t>
        </is>
      </c>
      <c r="B27" s="16">
        <f>B16+B21+B26</f>
        <v/>
      </c>
      <c r="D27" s="14">
        <f>SUM(D24:D26)</f>
        <v/>
      </c>
    </row>
    <row r="28">
      <c r="A28" s="31" t="inlineStr">
        <is>
          <t>TOTAL LIABILITIES &amp; EQUITY</t>
        </is>
      </c>
      <c r="D28" s="16">
        <f>D21+D27</f>
        <v/>
      </c>
    </row>
    <row r="30">
      <c r="A30" s="32" t="inlineStr">
        <is>
          <t>Balance Sheet Check (Assets - L+E, should = $0):  =B27-D28</t>
        </is>
      </c>
    </row>
  </sheetData>
  <mergeCells count="8">
    <mergeCell ref="A1:D1"/>
    <mergeCell ref="A3:D3"/>
    <mergeCell ref="A30:D30"/>
    <mergeCell ref="A5:B5"/>
    <mergeCell ref="A2:D2"/>
    <mergeCell ref="A23:B23"/>
    <mergeCell ref="A18:B18"/>
    <mergeCell ref="D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6" customWidth="1" min="3" max="3"/>
  </cols>
  <sheetData>
    <row r="1" ht="22" customHeight="1">
      <c r="A1" s="1" t="inlineStr">
        <is>
          <t>APEX GOVERNMENT CONSTRUCTION LLC</t>
        </is>
      </c>
    </row>
    <row r="2">
      <c r="A2" s="19" t="inlineStr">
        <is>
          <t>Statement of Cash Flows</t>
        </is>
      </c>
    </row>
    <row r="3">
      <c r="A3" s="3" t="inlineStr">
        <is>
          <t>Project: Federal District Courthouse &amp; Public Safety Complex (FDC-2024)</t>
        </is>
      </c>
    </row>
    <row r="4">
      <c r="A4" s="4" t="inlineStr">
        <is>
          <t>Description</t>
        </is>
      </c>
      <c r="B4" s="5" t="inlineStr">
        <is>
          <t>YTD (Jan 2026)</t>
        </is>
      </c>
      <c r="C4" s="5" t="inlineStr">
        <is>
          <t>Project-to-Date</t>
        </is>
      </c>
    </row>
    <row r="5">
      <c r="A5" s="6" t="inlineStr">
        <is>
          <t>OPERATING ACTIVITIES</t>
        </is>
      </c>
    </row>
    <row r="6">
      <c r="A6" s="33" t="inlineStr">
        <is>
          <t>Net Income</t>
        </is>
      </c>
      <c r="B6" s="8" t="n">
        <v>603083</v>
      </c>
      <c r="C6" s="8" t="n">
        <v>5556000</v>
      </c>
    </row>
    <row r="7">
      <c r="A7" s="33" t="inlineStr">
        <is>
          <t>Adjustments to Reconcile Net Income to Cash:</t>
        </is>
      </c>
    </row>
    <row r="8">
      <c r="A8" s="7" t="inlineStr">
        <is>
          <t xml:space="preserve">  Depreciation &amp; Amortization</t>
        </is>
      </c>
      <c r="B8" s="21" t="n">
        <v>35417</v>
      </c>
      <c r="C8" s="21" t="n">
        <v>425000</v>
      </c>
    </row>
    <row r="9">
      <c r="A9" s="7" t="inlineStr">
        <is>
          <t xml:space="preserve">  (Increase) / Decrease in Accounts Receivable</t>
        </is>
      </c>
      <c r="B9" s="21" t="n">
        <v>-6400000</v>
      </c>
      <c r="C9" s="21" t="n">
        <v>-6400000</v>
      </c>
    </row>
    <row r="10">
      <c r="A10" s="7" t="inlineStr">
        <is>
          <t xml:space="preserve">  (Increase) / Decrease in Retainage Receivable</t>
        </is>
      </c>
      <c r="B10" s="21" t="n">
        <v>-3820000</v>
      </c>
      <c r="C10" s="21" t="n">
        <v>-3820000</v>
      </c>
    </row>
    <row r="11">
      <c r="A11" s="7" t="inlineStr">
        <is>
          <t xml:space="preserve">  (Increase) / Decrease in Costs in Excess of Billings</t>
        </is>
      </c>
      <c r="B11" s="21" t="n">
        <v>-1364200</v>
      </c>
      <c r="C11" s="21" t="n">
        <v>-1364200</v>
      </c>
    </row>
    <row r="12">
      <c r="A12" s="7" t="inlineStr">
        <is>
          <t xml:space="preserve">  (Increase) / Decrease in Prepaid Expenses</t>
        </is>
      </c>
      <c r="B12" s="21" t="n">
        <v>-285000</v>
      </c>
      <c r="C12" s="21" t="n">
        <v>-285000</v>
      </c>
    </row>
    <row r="13">
      <c r="A13" s="7" t="inlineStr">
        <is>
          <t xml:space="preserve">  (Increase) / Decrease in Inventory / Materials on Site</t>
        </is>
      </c>
      <c r="B13" s="21" t="n">
        <v>-142000</v>
      </c>
      <c r="C13" s="21" t="n">
        <v>-142000</v>
      </c>
    </row>
    <row r="14">
      <c r="A14" s="7" t="inlineStr">
        <is>
          <t xml:space="preserve">  Increase / (Decrease) in Accounts Payable</t>
        </is>
      </c>
      <c r="B14" s="21" t="n">
        <v>6806000</v>
      </c>
      <c r="C14" s="21" t="n">
        <v>6806000</v>
      </c>
    </row>
    <row r="15">
      <c r="A15" s="7" t="inlineStr">
        <is>
          <t xml:space="preserve">  Increase / (Decrease) in Retainage Payable</t>
        </is>
      </c>
      <c r="B15" s="21" t="n">
        <v>2817500</v>
      </c>
      <c r="C15" s="21" t="n">
        <v>2817500</v>
      </c>
    </row>
    <row r="16">
      <c r="A16" s="7" t="inlineStr">
        <is>
          <t xml:space="preserve">  Increase / (Decrease) in Accrued Wages &amp; Benefits</t>
        </is>
      </c>
      <c r="B16" s="21" t="n">
        <v>3200000</v>
      </c>
      <c r="C16" s="21" t="n">
        <v>3200000</v>
      </c>
    </row>
    <row r="17">
      <c r="A17" s="7" t="inlineStr">
        <is>
          <t xml:space="preserve">  Increase / (Decrease) in Accrued Taxes</t>
        </is>
      </c>
      <c r="B17" s="21" t="n">
        <v>485000</v>
      </c>
      <c r="C17" s="21" t="n">
        <v>485000</v>
      </c>
    </row>
    <row r="18">
      <c r="A18" s="7" t="inlineStr">
        <is>
          <t xml:space="preserve">  Increase / (Decrease) in Accrued G&amp;A Expenses</t>
        </is>
      </c>
      <c r="B18" s="21" t="n">
        <v>565000</v>
      </c>
      <c r="C18" s="21" t="n">
        <v>565000</v>
      </c>
    </row>
    <row r="19">
      <c r="A19" s="7" t="inlineStr">
        <is>
          <t xml:space="preserve">  Increase / (Decrease) in Workers Comp Reserve</t>
        </is>
      </c>
      <c r="B19" s="21" t="n">
        <v>142000</v>
      </c>
      <c r="C19" s="21" t="n">
        <v>142000</v>
      </c>
    </row>
    <row r="20">
      <c r="A20" s="7" t="inlineStr">
        <is>
          <t xml:space="preserve">  Increase / (Decrease) in Grant Funds Received (Restricted)</t>
        </is>
      </c>
      <c r="B20" s="21" t="n">
        <v>14150000</v>
      </c>
      <c r="C20" s="21" t="n">
        <v>14150000</v>
      </c>
    </row>
    <row r="21">
      <c r="A21" s="9" t="inlineStr">
        <is>
          <t>NET CASH FROM OPERATING ACTIVITIES</t>
        </is>
      </c>
      <c r="B21" s="14">
        <f>SUM(B6:B20)</f>
        <v/>
      </c>
      <c r="C21" s="14">
        <f>SUM(C6:C20)</f>
        <v/>
      </c>
    </row>
    <row r="23">
      <c r="A23" s="6" t="inlineStr">
        <is>
          <t>INVESTING ACTIVITIES</t>
        </is>
      </c>
    </row>
    <row r="24">
      <c r="A24" s="7" t="inlineStr">
        <is>
          <t>Purchase of Construction Equipment</t>
        </is>
      </c>
      <c r="B24" s="21" t="n">
        <v>-365000</v>
      </c>
      <c r="C24" s="21" t="n">
        <v>-3075000</v>
      </c>
    </row>
    <row r="25">
      <c r="A25" s="7" t="inlineStr">
        <is>
          <t>Proceeds from Retainage Reserve Account (Net)</t>
        </is>
      </c>
      <c r="B25" s="21" t="n">
        <v>0</v>
      </c>
      <c r="C25" s="21" t="n">
        <v>-2340000</v>
      </c>
    </row>
    <row r="26">
      <c r="A26" s="9" t="inlineStr">
        <is>
          <t>NET CASH FROM INVESTING ACTIVITIES</t>
        </is>
      </c>
      <c r="B26" s="14">
        <f>SUM(B24:B25)</f>
        <v/>
      </c>
      <c r="C26" s="14">
        <f>SUM(C24:C25)</f>
        <v/>
      </c>
    </row>
    <row r="28">
      <c r="A28" s="6" t="inlineStr">
        <is>
          <t>FINANCING ACTIVITIES</t>
        </is>
      </c>
    </row>
    <row r="29">
      <c r="A29" s="7" t="inlineStr">
        <is>
          <t>Proceeds from Equipment Financing Notes</t>
        </is>
      </c>
      <c r="B29" s="21" t="n">
        <v>0</v>
      </c>
      <c r="C29" s="21" t="n">
        <v>1850000</v>
      </c>
    </row>
    <row r="30">
      <c r="A30" s="7" t="inlineStr">
        <is>
          <t>Repayment of Equipment Notes</t>
        </is>
      </c>
      <c r="B30" s="21" t="n">
        <v>-45000</v>
      </c>
      <c r="C30" s="21" t="n">
        <v>-180000</v>
      </c>
    </row>
    <row r="31">
      <c r="A31" s="7" t="inlineStr">
        <is>
          <t>Owner Distributions</t>
        </is>
      </c>
      <c r="B31" s="21" t="n">
        <v>0</v>
      </c>
      <c r="C31" s="21" t="n">
        <v>-1200000</v>
      </c>
    </row>
    <row r="32">
      <c r="A32" s="9" t="inlineStr">
        <is>
          <t>NET CASH FROM FINANCING ACTIVITIES</t>
        </is>
      </c>
      <c r="B32" s="14">
        <f>SUM(B29:B31)</f>
        <v/>
      </c>
      <c r="C32" s="14">
        <f>SUM(C29:C31)</f>
        <v/>
      </c>
    </row>
    <row r="34">
      <c r="A34" s="9" t="inlineStr">
        <is>
          <t>NET INCREASE / (DECREASE) IN CASH</t>
        </is>
      </c>
      <c r="B34" s="26">
        <f>B21+B26+B32</f>
        <v/>
      </c>
      <c r="C34" s="26">
        <f>C21+C26+C32</f>
        <v/>
      </c>
    </row>
    <row r="35">
      <c r="A35" s="7" t="inlineStr">
        <is>
          <t>Cash &amp; Restricted Funds at Beginning of Period</t>
        </is>
      </c>
      <c r="B35" s="21" t="n">
        <v>14775000</v>
      </c>
      <c r="C35" s="21" t="n">
        <v>0</v>
      </c>
    </row>
    <row r="36">
      <c r="A36" s="15" t="inlineStr">
        <is>
          <t>CASH &amp; RESTRICTED FUNDS AT END OF PERIOD</t>
        </is>
      </c>
      <c r="B36" s="16">
        <f>B34+B35</f>
        <v/>
      </c>
      <c r="C36" s="16">
        <f>C34+C35</f>
        <v/>
      </c>
    </row>
    <row r="38">
      <c r="A38" s="6" t="inlineStr">
        <is>
          <t>SUPPLEMENTAL CASH FLOW INFORMATION</t>
        </is>
      </c>
    </row>
    <row r="39">
      <c r="A39" s="7" t="inlineStr">
        <is>
          <t>Cash Paid for Interest</t>
        </is>
      </c>
      <c r="B39" s="21" t="n">
        <v>38000</v>
      </c>
      <c r="C39" s="21" t="n">
        <v>456000</v>
      </c>
    </row>
    <row r="40">
      <c r="A40" s="7" t="inlineStr">
        <is>
          <t>Cash Paid for Income Taxes</t>
        </is>
      </c>
      <c r="B40" s="21" t="n">
        <v>0</v>
      </c>
      <c r="C40" s="21" t="n">
        <v>0</v>
      </c>
    </row>
    <row r="41">
      <c r="A41" s="7" t="inlineStr">
        <is>
          <t>Non-Cash: Grant Funds Received (Restricted)</t>
        </is>
      </c>
      <c r="B41" s="21" t="n">
        <v>14150000</v>
      </c>
      <c r="C41" s="21" t="n">
        <v>14150000</v>
      </c>
    </row>
    <row r="42">
      <c r="A42" s="7" t="inlineStr">
        <is>
          <t>Non-Cash: Retainage Withheld by GSA (not yet received)</t>
        </is>
      </c>
      <c r="B42" s="21" t="n">
        <v>3820000</v>
      </c>
      <c r="C42" s="21" t="n">
        <v>3820000</v>
      </c>
    </row>
    <row r="43">
      <c r="A43" s="7" t="inlineStr">
        <is>
          <t>Non-Cash: Retainage Withheld from Subcontractors</t>
        </is>
      </c>
      <c r="B43" s="21" t="n">
        <v>2817500</v>
      </c>
      <c r="C43" s="21" t="n">
        <v>2817500</v>
      </c>
    </row>
    <row r="44">
      <c r="A44" s="7" t="inlineStr">
        <is>
          <t>Non-Cash: Underbilling (CIE - Revenue Earned Not Billed)</t>
        </is>
      </c>
      <c r="B44" s="21" t="n">
        <v>1364200</v>
      </c>
      <c r="C44" s="21" t="n">
        <v>1364200</v>
      </c>
    </row>
  </sheetData>
  <mergeCells count="7">
    <mergeCell ref="A28:C28"/>
    <mergeCell ref="A1:C1"/>
    <mergeCell ref="A23:C23"/>
    <mergeCell ref="A5:C5"/>
    <mergeCell ref="A3:C3"/>
    <mergeCell ref="A38:C38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 ht="20" customHeight="1">
      <c r="A1" s="2" t="inlineStr">
        <is>
          <t>APEX GOVERNMENT CONSTRUCTION LLC — Work-In-Progress (WIP) Schedule</t>
        </is>
      </c>
    </row>
    <row r="2">
      <c r="A2" s="3" t="inlineStr">
        <is>
          <t>As of January 31, 2026  |  Federal District Courthouse &amp; Public Safety Complex (FDC-2024)</t>
        </is>
      </c>
    </row>
    <row r="3" ht="28" customHeight="1">
      <c r="A3" s="34" t="inlineStr">
        <is>
          <t>Contract Item</t>
        </is>
      </c>
      <c r="B3" s="34" t="inlineStr">
        <is>
          <t>Original Contract</t>
        </is>
      </c>
      <c r="C3" s="34" t="inlineStr">
        <is>
          <t>Approved COs</t>
        </is>
      </c>
      <c r="D3" s="34" t="inlineStr">
        <is>
          <t>Revised Contract</t>
        </is>
      </c>
      <c r="E3" s="34" t="inlineStr">
        <is>
          <t>% Complete</t>
        </is>
      </c>
      <c r="F3" s="34" t="inlineStr">
        <is>
          <t>Revenue Earned</t>
        </is>
      </c>
      <c r="G3" s="34" t="inlineStr">
        <is>
          <t>Billed to Date</t>
        </is>
      </c>
      <c r="H3" s="34" t="inlineStr">
        <is>
          <t>CIE (Under) / BIE (Over)</t>
        </is>
      </c>
    </row>
    <row r="4">
      <c r="A4" s="35" t="inlineStr">
        <is>
          <t>Site Work &amp; Earthwork</t>
        </is>
      </c>
      <c r="B4" s="36" t="n">
        <v>4500000</v>
      </c>
      <c r="C4" s="36" t="n">
        <v>0</v>
      </c>
      <c r="D4" s="36" t="n">
        <v>4500000</v>
      </c>
      <c r="E4" s="37" t="n">
        <v>0.52</v>
      </c>
      <c r="F4" s="36" t="n">
        <v>2340000</v>
      </c>
      <c r="G4" s="36" t="n">
        <v>2340000</v>
      </c>
      <c r="H4" s="38" t="n">
        <v>0</v>
      </c>
    </row>
    <row r="5">
      <c r="A5" s="39" t="inlineStr">
        <is>
          <t>Foundation &amp; Substructure</t>
        </is>
      </c>
      <c r="B5" s="21" t="n">
        <v>8200000</v>
      </c>
      <c r="C5" s="21" t="n">
        <v>0</v>
      </c>
      <c r="D5" s="21" t="n">
        <v>8200000</v>
      </c>
      <c r="E5" s="40" t="n">
        <v>0.52</v>
      </c>
      <c r="F5" s="21" t="n">
        <v>4264000</v>
      </c>
      <c r="G5" s="21" t="n">
        <v>4264000</v>
      </c>
      <c r="H5" s="41" t="n">
        <v>0</v>
      </c>
    </row>
    <row r="6">
      <c r="A6" s="35" t="inlineStr">
        <is>
          <t>Structural Concrete</t>
        </is>
      </c>
      <c r="B6" s="36" t="n">
        <v>9800000</v>
      </c>
      <c r="C6" s="36" t="n">
        <v>0</v>
      </c>
      <c r="D6" s="36" t="n">
        <v>9800000</v>
      </c>
      <c r="E6" s="37" t="n">
        <v>0.52</v>
      </c>
      <c r="F6" s="36" t="n">
        <v>5096000</v>
      </c>
      <c r="G6" s="36" t="n">
        <v>5096000</v>
      </c>
      <c r="H6" s="38" t="n">
        <v>0</v>
      </c>
    </row>
    <row r="7">
      <c r="A7" s="39" t="inlineStr">
        <is>
          <t>Structural Steel</t>
        </is>
      </c>
      <c r="B7" s="21" t="n">
        <v>9500000</v>
      </c>
      <c r="C7" s="21" t="n">
        <v>0</v>
      </c>
      <c r="D7" s="21" t="n">
        <v>9500000</v>
      </c>
      <c r="E7" s="40" t="n">
        <v>0.52</v>
      </c>
      <c r="F7" s="21" t="n">
        <v>4940000</v>
      </c>
      <c r="G7" s="21" t="n">
        <v>4940000</v>
      </c>
      <c r="H7" s="41" t="n">
        <v>0</v>
      </c>
    </row>
    <row r="8">
      <c r="A8" s="35" t="inlineStr">
        <is>
          <t>Exterior Masonry &amp; Facade</t>
        </is>
      </c>
      <c r="B8" s="36" t="n">
        <v>4200000</v>
      </c>
      <c r="C8" s="36" t="n">
        <v>1100000</v>
      </c>
      <c r="D8" s="36" t="n">
        <v>5300000</v>
      </c>
      <c r="E8" s="37" t="n">
        <v>0.52</v>
      </c>
      <c r="F8" s="36" t="n">
        <v>2756000</v>
      </c>
      <c r="G8" s="36" t="n">
        <v>2400000</v>
      </c>
      <c r="H8" s="38" t="n">
        <v>356000</v>
      </c>
    </row>
    <row r="9">
      <c r="A9" s="39" t="inlineStr">
        <is>
          <t>Curtain Wall &amp; Glazing (Blast)</t>
        </is>
      </c>
      <c r="B9" s="21" t="n">
        <v>3800000</v>
      </c>
      <c r="C9" s="21" t="n">
        <v>2400000</v>
      </c>
      <c r="D9" s="21" t="n">
        <v>6200000</v>
      </c>
      <c r="E9" s="40" t="n">
        <v>0.52</v>
      </c>
      <c r="F9" s="21" t="n">
        <v>3224000</v>
      </c>
      <c r="G9" s="21" t="n">
        <v>3224000</v>
      </c>
      <c r="H9" s="41" t="n">
        <v>0</v>
      </c>
    </row>
    <row r="10">
      <c r="A10" s="35" t="inlineStr">
        <is>
          <t>Roofing &amp; Waterproofing</t>
        </is>
      </c>
      <c r="B10" s="36" t="n">
        <v>2100000</v>
      </c>
      <c r="C10" s="36" t="n">
        <v>0</v>
      </c>
      <c r="D10" s="36" t="n">
        <v>2100000</v>
      </c>
      <c r="E10" s="37" t="n">
        <v>0.52</v>
      </c>
      <c r="F10" s="36" t="n">
        <v>1092000</v>
      </c>
      <c r="G10" s="36" t="n">
        <v>1092000</v>
      </c>
      <c r="H10" s="38" t="n">
        <v>0</v>
      </c>
    </row>
    <row r="11">
      <c r="A11" s="39" t="inlineStr">
        <is>
          <t>MEP - Mechanical &amp; HVAC</t>
        </is>
      </c>
      <c r="B11" s="21" t="n">
        <v>8200000</v>
      </c>
      <c r="C11" s="21" t="n">
        <v>620000</v>
      </c>
      <c r="D11" s="21" t="n">
        <v>8820000</v>
      </c>
      <c r="E11" s="40" t="n">
        <v>0.52</v>
      </c>
      <c r="F11" s="21" t="n">
        <v>4576400</v>
      </c>
      <c r="G11" s="21" t="n">
        <v>4200000</v>
      </c>
      <c r="H11" s="41" t="n">
        <v>376400</v>
      </c>
    </row>
    <row r="12">
      <c r="A12" s="35" t="inlineStr">
        <is>
          <t>MEP - Electrical &amp; Low Voltage</t>
        </is>
      </c>
      <c r="B12" s="36" t="n">
        <v>7600000</v>
      </c>
      <c r="C12" s="36" t="n">
        <v>480000</v>
      </c>
      <c r="D12" s="36" t="n">
        <v>8080000</v>
      </c>
      <c r="E12" s="37" t="n">
        <v>0.52</v>
      </c>
      <c r="F12" s="36" t="n">
        <v>4222400</v>
      </c>
      <c r="G12" s="36" t="n">
        <v>3800000</v>
      </c>
      <c r="H12" s="38" t="n">
        <v>422400</v>
      </c>
    </row>
    <row r="13">
      <c r="A13" s="39" t="inlineStr">
        <is>
          <t>MEP - Plumbing &amp; Fire Protection</t>
        </is>
      </c>
      <c r="B13" s="21" t="n">
        <v>3800000</v>
      </c>
      <c r="C13" s="21" t="n">
        <v>0</v>
      </c>
      <c r="D13" s="21" t="n">
        <v>3800000</v>
      </c>
      <c r="E13" s="40" t="n">
        <v>0.52</v>
      </c>
      <c r="F13" s="21" t="n">
        <v>1976000</v>
      </c>
      <c r="G13" s="21" t="n">
        <v>1976000</v>
      </c>
      <c r="H13" s="41" t="n">
        <v>0</v>
      </c>
    </row>
    <row r="14">
      <c r="A14" s="35" t="inlineStr">
        <is>
          <t>Interior Framing &amp; Drywall</t>
        </is>
      </c>
      <c r="B14" s="36" t="n">
        <v>3800000</v>
      </c>
      <c r="C14" s="36" t="n">
        <v>0</v>
      </c>
      <c r="D14" s="36" t="n">
        <v>3800000</v>
      </c>
      <c r="E14" s="37" t="n">
        <v>0.52</v>
      </c>
      <c r="F14" s="36" t="n">
        <v>1976000</v>
      </c>
      <c r="G14" s="36" t="n">
        <v>1976000</v>
      </c>
      <c r="H14" s="38" t="n">
        <v>0</v>
      </c>
    </row>
    <row r="15">
      <c r="A15" s="39" t="inlineStr">
        <is>
          <t>Secure Detention Area (CO-001)</t>
        </is>
      </c>
      <c r="B15" s="21" t="n">
        <v>0</v>
      </c>
      <c r="C15" s="21" t="n">
        <v>1850000</v>
      </c>
      <c r="D15" s="21" t="n">
        <v>1850000</v>
      </c>
      <c r="E15" s="40" t="n">
        <v>0.52</v>
      </c>
      <c r="F15" s="21" t="n">
        <v>962000</v>
      </c>
      <c r="G15" s="21" t="n">
        <v>962000</v>
      </c>
      <c r="H15" s="41" t="n">
        <v>0</v>
      </c>
    </row>
    <row r="16">
      <c r="A16" s="35" t="inlineStr">
        <is>
          <t>Section 3 Training Lab (CO-007)</t>
        </is>
      </c>
      <c r="B16" s="36" t="n">
        <v>0</v>
      </c>
      <c r="C16" s="36" t="n">
        <v>750000</v>
      </c>
      <c r="D16" s="36" t="n">
        <v>750000</v>
      </c>
      <c r="E16" s="37" t="n">
        <v>0.52</v>
      </c>
      <c r="F16" s="36" t="n">
        <v>390000</v>
      </c>
      <c r="G16" s="36" t="n">
        <v>0</v>
      </c>
      <c r="H16" s="38" t="n">
        <v>390000</v>
      </c>
    </row>
    <row r="17">
      <c r="A17" s="39" t="inlineStr">
        <is>
          <t>General Conditions &amp; Overhead</t>
        </is>
      </c>
      <c r="B17" s="21" t="n">
        <v>3000000</v>
      </c>
      <c r="C17" s="21" t="n">
        <v>385000</v>
      </c>
      <c r="D17" s="21" t="n">
        <v>3385000</v>
      </c>
      <c r="E17" s="40" t="n">
        <v>0.52</v>
      </c>
      <c r="F17" s="21" t="n">
        <v>1762200</v>
      </c>
      <c r="G17" s="21" t="n">
        <v>1870000</v>
      </c>
      <c r="H17" s="42" t="n">
        <v>-107800</v>
      </c>
    </row>
    <row r="18">
      <c r="A18" s="43" t="inlineStr">
        <is>
          <t>TOTAL</t>
        </is>
      </c>
      <c r="B18" s="14">
        <f>SUM(B4:B17)</f>
        <v/>
      </c>
      <c r="C18" s="14">
        <f>SUM(C4:C17)</f>
        <v/>
      </c>
      <c r="D18" s="14">
        <f>SUM(D4:D17)</f>
        <v/>
      </c>
      <c r="E18" s="44" t="inlineStr"/>
      <c r="F18" s="14">
        <f>SUM(F4:F17)</f>
        <v/>
      </c>
      <c r="G18" s="14">
        <f>SUM(G4:G17)</f>
        <v/>
      </c>
      <c r="H18" s="14">
        <f>F18-G18</f>
        <v/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2026-02-18T02:14:40Z</dcterms:created>
  <dcterms:modified xmlns:dcterms="http://purl.org/dc/terms/" xmlns:xsi="http://www.w3.org/2001/XMLSchema-instance" xsi:type="dcterms:W3CDTF">2026-02-18T02:14:40Z</dcterms:modified>
</cp:coreProperties>
</file>