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Generation &amp; Mar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(0.0%);&quot;-&quot;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FFCCE5FF"/>
      <sz val="9"/>
    </font>
    <font>
      <name val="Arial"/>
      <b val="1"/>
      <color rgb="FFFFFFFF"/>
      <sz val="10"/>
    </font>
    <font>
      <name val="Arial"/>
      <b val="1"/>
      <color rgb="FF222222"/>
      <sz val="10"/>
    </font>
    <font>
      <name val="Arial"/>
      <color rgb="FF222222"/>
      <sz val="10"/>
    </font>
    <font>
      <name val="Arial"/>
      <sz val="10"/>
    </font>
    <font>
      <name val="Arial"/>
      <b val="1"/>
      <sz val="12"/>
    </font>
    <font>
      <name val="Arial"/>
      <b val="1"/>
      <color rgb="FFFFFFFF"/>
      <sz val="12"/>
    </font>
    <font>
      <name val="Arial"/>
      <i val="1"/>
      <color rgb="FF222222"/>
      <sz val="10"/>
    </font>
    <font>
      <name val="Arial"/>
      <i val="1"/>
      <color rgb="FF666666"/>
      <sz val="9"/>
    </font>
    <font>
      <name val="Arial"/>
      <b val="1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FF00646E"/>
      </patternFill>
    </fill>
    <fill>
      <patternFill patternType="solid">
        <fgColor rgb="FF222222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2F5F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D966"/>
      </patternFill>
    </fill>
    <fill>
      <patternFill patternType="solid">
        <fgColor rgb="FFD04B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2"/>
    </xf>
    <xf numFmtId="0" fontId="5" fillId="7" borderId="0" applyAlignment="1" pivotButton="0" quotePrefix="0" xfId="0">
      <alignment horizontal="left" vertical="center" indent="3"/>
    </xf>
    <xf numFmtId="164" fontId="5" fillId="7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165" fontId="5" fillId="9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left" vertical="center"/>
    </xf>
    <xf numFmtId="164" fontId="2" fillId="10" borderId="0" applyAlignment="1" pivotButton="0" quotePrefix="0" xfId="0">
      <alignment horizontal="right" vertical="center"/>
    </xf>
    <xf numFmtId="165" fontId="4" fillId="10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164" fontId="8" fillId="13" borderId="0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/>
    </xf>
    <xf numFmtId="164" fontId="9" fillId="10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164" fontId="13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</cols>
  <sheetData>
    <row r="1" ht="22" customHeight="1">
      <c r="A1" s="1" t="inlineStr">
        <is>
          <t>LONE STAR POWER GENERATION LLC  —  Houston, Texas (Harris County)</t>
        </is>
      </c>
    </row>
    <row r="2" ht="18" customHeight="1">
      <c r="A2" s="2" t="inlineStr">
        <is>
          <t>INCOME STATEMENT  |  Fiscal Year Ended December 31, 2025</t>
        </is>
      </c>
    </row>
    <row r="3" ht="14" customHeight="1">
      <c r="A3" s="3" t="inlineStr">
        <is>
          <t>Facility: 900 MW Natural Gas Combined-Cycle  |  GE 7HA.02 (2×) + Siemens SST-900 (1×)  |  ERCOT Market</t>
        </is>
      </c>
    </row>
    <row r="4">
      <c r="A4" s="4" t="inlineStr">
        <is>
          <t>Description</t>
        </is>
      </c>
      <c r="B4" s="4" t="inlineStr">
        <is>
          <t>FY 2025  ($)</t>
        </is>
      </c>
      <c r="C4" s="4" t="inlineStr">
        <is>
          <t>% of Revenue</t>
        </is>
      </c>
    </row>
    <row r="5">
      <c r="A5" s="5" t="inlineStr">
        <is>
          <t>REVENUE</t>
        </is>
      </c>
    </row>
    <row r="6">
      <c r="A6" s="6" t="inlineStr">
        <is>
          <t>Energy Revenue — ERCOT Day-Ahead Market (5.50 TWh @ $38.20/MWh avg)</t>
        </is>
      </c>
      <c r="B6" s="7" t="n">
        <v>157702156</v>
      </c>
      <c r="C6" s="8" t="n">
        <v>0.4916304183037744</v>
      </c>
    </row>
    <row r="7">
      <c r="A7" s="6" t="inlineStr">
        <is>
          <t>Energy Revenue — ERCOT Real-Time Market (Incl. Scarcity Events)</t>
        </is>
      </c>
      <c r="B7" s="7" t="n">
        <v>65700841</v>
      </c>
      <c r="C7" s="8" t="n">
        <v>0.2048198500452953</v>
      </c>
    </row>
    <row r="8">
      <c r="A8" s="6" t="inlineStr">
        <is>
          <t>Capacity Revenue — NextDecade PPA (200 MW × $42.50/MWh × 98% avail.)</t>
        </is>
      </c>
      <c r="B8" s="7" t="n">
        <v>72970800</v>
      </c>
      <c r="C8" s="8" t="n">
        <v>0.2274836681875234</v>
      </c>
    </row>
    <row r="9">
      <c r="A9" s="6" t="inlineStr">
        <is>
          <t>Ancillary Services — REGUP / REGDN / RRS / FFR (ERCOT)</t>
        </is>
      </c>
      <c r="B9" s="7" t="n">
        <v>18400000</v>
      </c>
      <c r="C9" s="8" t="n">
        <v>0.05736129375929044</v>
      </c>
    </row>
    <row r="10">
      <c r="A10" s="6" t="inlineStr">
        <is>
          <t>Heat Rate Call Option Premium Income</t>
        </is>
      </c>
      <c r="B10" s="7" t="n">
        <v>4200000</v>
      </c>
      <c r="C10" s="8" t="n">
        <v>0.01309333879288152</v>
      </c>
    </row>
    <row r="11">
      <c r="A11" s="6" t="inlineStr">
        <is>
          <t>Voluntary Carbon Credits &amp; RECs</t>
        </is>
      </c>
      <c r="B11" s="7" t="n">
        <v>1800000</v>
      </c>
      <c r="C11" s="8" t="n">
        <v>0.005611430911234934</v>
      </c>
    </row>
    <row r="12">
      <c r="A12" s="5" t="inlineStr">
        <is>
          <t>TOTAL REVENUE</t>
        </is>
      </c>
      <c r="B12" s="9" t="n">
        <v>320773797</v>
      </c>
      <c r="C12" s="10" t="n">
        <v>1</v>
      </c>
    </row>
    <row r="14">
      <c r="A14" s="5" t="inlineStr">
        <is>
          <t>FUEL &amp; PURCHASED GAS</t>
        </is>
      </c>
    </row>
    <row r="15">
      <c r="A15" s="6" t="inlineStr">
        <is>
          <t>Natural Gas Commodity — Shell Energy &amp; BP (6.717 TWh @ 6,850 BTU/kWh, $3.18/MMBtu avg)</t>
        </is>
      </c>
      <c r="B15" s="7" t="n">
        <v>146320071</v>
      </c>
      <c r="C15" s="8" t="n">
        <v>0.456147205190828</v>
      </c>
    </row>
    <row r="16">
      <c r="A16" s="6" t="inlineStr">
        <is>
          <t>Pipeline Transportation — Kinder Morgan Texas Pipeline ($0.28/MMBtu)</t>
        </is>
      </c>
      <c r="B16" s="7" t="n">
        <v>12883528</v>
      </c>
      <c r="C16" s="8" t="n">
        <v>0.04016390403608933</v>
      </c>
    </row>
    <row r="17">
      <c r="A17" s="6" t="inlineStr">
        <is>
          <t>Fuel Management &amp; Scheduling Fees</t>
        </is>
      </c>
      <c r="B17" s="7" t="n">
        <v>1850000</v>
      </c>
      <c r="C17" s="8" t="n">
        <v>0.005767303992102572</v>
      </c>
    </row>
    <row r="18">
      <c r="A18" s="5" t="inlineStr">
        <is>
          <t>TOTAL FUEL COST</t>
        </is>
      </c>
      <c r="B18" s="9" t="n">
        <v>161053599</v>
      </c>
      <c r="C18" s="10" t="n">
        <v>0.5020784132190199</v>
      </c>
    </row>
    <row r="20">
      <c r="A20" s="11" t="inlineStr">
        <is>
          <t>GROSS PROFIT  (Spark Spread Contribution)</t>
        </is>
      </c>
      <c r="B20" s="12" t="n">
        <v>159720198</v>
      </c>
      <c r="C20" s="13" t="n">
        <v>0.4979215867809801</v>
      </c>
    </row>
    <row r="22">
      <c r="A22" s="5" t="inlineStr">
        <is>
          <t>OPERATIONS &amp; MAINTENANCE EXPENSE</t>
        </is>
      </c>
    </row>
    <row r="23">
      <c r="A23" s="14" t="inlineStr">
        <is>
          <t xml:space="preserve">  Operations Labor</t>
        </is>
      </c>
    </row>
    <row r="24">
      <c r="A24" s="15" t="inlineStr">
        <is>
          <t>Plant Operations Labor — 13 FTEs (Operators, Technicians, Supervision)</t>
        </is>
      </c>
      <c r="B24" s="7" t="n">
        <v>5840000</v>
      </c>
      <c r="C24" s="8" t="n">
        <v>0.01820597584534001</v>
      </c>
    </row>
    <row r="25">
      <c r="A25" s="15" t="inlineStr">
        <is>
          <t>Operations Labor Burden (Payroll Tax, Benefits, Workers' Comp — 28%)</t>
        </is>
      </c>
      <c r="B25" s="7" t="n">
        <v>1635200</v>
      </c>
      <c r="C25" s="8" t="n">
        <v>0.005097673236695203</v>
      </c>
    </row>
    <row r="26">
      <c r="A26" s="16" t="inlineStr">
        <is>
          <t xml:space="preserve">   Total Operations Labor</t>
        </is>
      </c>
      <c r="B26" s="17" t="n">
        <v>7475200</v>
      </c>
      <c r="C26" s="18" t="n">
        <v>0.02330364908203521</v>
      </c>
    </row>
    <row r="27">
      <c r="A27" s="14" t="inlineStr">
        <is>
          <t xml:space="preserve">  Maintenance</t>
        </is>
      </c>
    </row>
    <row r="28">
      <c r="A28" s="15" t="inlineStr">
        <is>
          <t>Planned Major — GT1 Combustion Inspection (24khr) + GT2 HGP (48khr)</t>
        </is>
      </c>
      <c r="B28" s="7" t="n">
        <v>22110000</v>
      </c>
      <c r="C28" s="8" t="n">
        <v>0.06892707635966912</v>
      </c>
    </row>
    <row r="29">
      <c r="A29" s="15" t="inlineStr">
        <is>
          <t>Planned Routine — SST-900 Annual, HRSG Inspection, BFP Seal, Demin RO</t>
        </is>
      </c>
      <c r="B29" s="7" t="n">
        <v>3420000</v>
      </c>
      <c r="C29" s="8" t="n">
        <v>0.01066171873134638</v>
      </c>
    </row>
    <row r="30">
      <c r="A30" s="15" t="inlineStr">
        <is>
          <t>Unplanned / Corrective Maintenance</t>
        </is>
      </c>
      <c r="B30" s="7" t="n">
        <v>980000</v>
      </c>
      <c r="C30" s="8" t="n">
        <v>0.003055112385005687</v>
      </c>
    </row>
    <row r="31">
      <c r="A31" s="16" t="inlineStr">
        <is>
          <t xml:space="preserve">   Total Maintenance</t>
        </is>
      </c>
      <c r="B31" s="17" t="n">
        <v>26510000</v>
      </c>
      <c r="C31" s="18" t="n">
        <v>0.08264390747602118</v>
      </c>
    </row>
    <row r="32">
      <c r="A32" s="14" t="inlineStr">
        <is>
          <t xml:space="preserve">  Plant Consumables &amp; Utilities</t>
        </is>
      </c>
    </row>
    <row r="33">
      <c r="A33" s="15" t="inlineStr">
        <is>
          <t>Cooling Tower Makeup Water (High Evaporation — Houston Climate)</t>
        </is>
      </c>
      <c r="B33" s="7" t="n">
        <v>1850000</v>
      </c>
      <c r="C33" s="8" t="n">
        <v>0.005767303992102572</v>
      </c>
    </row>
    <row r="34">
      <c r="A34" s="15" t="inlineStr">
        <is>
          <t>Water Treatment Chemicals — Cooling Tower &amp; HRSG</t>
        </is>
      </c>
      <c r="B34" s="7" t="n">
        <v>720000</v>
      </c>
      <c r="C34" s="8" t="n">
        <v>0.002244572364493974</v>
      </c>
    </row>
    <row r="35">
      <c r="A35" s="14" t="inlineStr">
        <is>
          <t xml:space="preserve">  Taxes, Insurance &amp; Regulatory</t>
        </is>
      </c>
    </row>
    <row r="36">
      <c r="A36" s="15" t="inlineStr">
        <is>
          <t>Property Tax — Harris County Ad Valorem (18.4 Acres + Plant Assets)</t>
        </is>
      </c>
      <c r="B36" s="7" t="n">
        <v>12800000</v>
      </c>
      <c r="C36" s="8" t="n">
        <v>0.03990350870211509</v>
      </c>
    </row>
    <row r="37">
      <c r="A37" s="15" t="inlineStr">
        <is>
          <t>Insurance — All-Risk Property &amp; Machinery Breakdown</t>
        </is>
      </c>
      <c r="B37" s="7" t="n">
        <v>6200000</v>
      </c>
      <c r="C37" s="8" t="n">
        <v>0.019328262027587</v>
      </c>
    </row>
    <row r="38">
      <c r="A38" s="15" t="inlineStr">
        <is>
          <t>Insurance — General Liability &amp; Pollution Legal</t>
        </is>
      </c>
      <c r="B38" s="7" t="n">
        <v>1480000</v>
      </c>
      <c r="C38" s="8" t="n">
        <v>0.004613843193682058</v>
      </c>
    </row>
    <row r="39">
      <c r="A39" s="15" t="inlineStr">
        <is>
          <t>Emissions Compliance — NOx Allowances (TCEQ Title V)</t>
        </is>
      </c>
      <c r="B39" s="7" t="n">
        <v>2850000</v>
      </c>
      <c r="C39" s="8" t="n">
        <v>0.008884765609455314</v>
      </c>
    </row>
    <row r="40">
      <c r="A40" s="15" t="inlineStr">
        <is>
          <t>Emissions Compliance — Voluntary CO2 Allowances</t>
        </is>
      </c>
      <c r="B40" s="7" t="n">
        <v>1200000</v>
      </c>
      <c r="C40" s="8" t="n">
        <v>0.00374095394082329</v>
      </c>
    </row>
    <row r="41">
      <c r="A41" s="14" t="inlineStr">
        <is>
          <t xml:space="preserve">  Market &amp; Interconnection</t>
        </is>
      </c>
    </row>
    <row r="42">
      <c r="A42" s="15" t="inlineStr">
        <is>
          <t>ERCOT Admin Fees &amp; Transmission Congestion Charges</t>
        </is>
      </c>
      <c r="B42" s="7" t="n">
        <v>4820000</v>
      </c>
      <c r="C42" s="8" t="n">
        <v>0.01502616499564021</v>
      </c>
    </row>
    <row r="43">
      <c r="A43" s="15" t="inlineStr">
        <is>
          <t>Transmission Owner Interconnection Charges (345 kV)</t>
        </is>
      </c>
      <c r="B43" s="7" t="n">
        <v>2140000</v>
      </c>
      <c r="C43" s="8" t="n">
        <v>0.006671367861134867</v>
      </c>
    </row>
    <row r="44">
      <c r="A44" s="14" t="inlineStr">
        <is>
          <t xml:space="preserve">  General &amp; Administrative</t>
        </is>
      </c>
    </row>
    <row r="45">
      <c r="A45" s="15" t="inlineStr">
        <is>
          <t>Administration &amp; General (Corporate Overhead Allocated)</t>
        </is>
      </c>
      <c r="B45" s="7" t="n">
        <v>2400000</v>
      </c>
      <c r="C45" s="8" t="n">
        <v>0.00748190788164658</v>
      </c>
    </row>
    <row r="46">
      <c r="A46" s="15" t="inlineStr">
        <is>
          <t>Legal &amp; Regulatory (FERC / PUCT / TCEQ Compliance)</t>
        </is>
      </c>
      <c r="B46" s="7" t="n">
        <v>1850000</v>
      </c>
      <c r="C46" s="8" t="n">
        <v>0.005767303992102572</v>
      </c>
    </row>
    <row r="47">
      <c r="A47" s="15" t="inlineStr">
        <is>
          <t>IT, SCADA &amp; Cybersecurity (NERC CIP Compliance)</t>
        </is>
      </c>
      <c r="B47" s="7" t="n">
        <v>980000</v>
      </c>
      <c r="C47" s="8" t="n">
        <v>0.003055112385005687</v>
      </c>
    </row>
    <row r="48">
      <c r="A48" s="14" t="inlineStr">
        <is>
          <t xml:space="preserve">  Non-Cash</t>
        </is>
      </c>
    </row>
    <row r="49">
      <c r="A49" s="15" t="inlineStr">
        <is>
          <t>Depreciation — Plant Assets ($763M gross ÷ 20-yr avg straight-line)</t>
        </is>
      </c>
      <c r="B49" s="7" t="n">
        <v>38200000</v>
      </c>
      <c r="C49" s="8" t="n">
        <v>0.1190870337828747</v>
      </c>
    </row>
    <row r="51">
      <c r="A51" s="5" t="inlineStr">
        <is>
          <t>TOTAL OPERATING EXPENSES</t>
        </is>
      </c>
      <c r="B51" s="9" t="n">
        <v>111475200</v>
      </c>
      <c r="C51" s="10" t="n">
        <v>0.3475196572867204</v>
      </c>
    </row>
    <row r="53">
      <c r="A53" s="19" t="inlineStr">
        <is>
          <t>OPERATING INCOME (EBIT)</t>
        </is>
      </c>
      <c r="B53" s="20" t="n">
        <v>48244998</v>
      </c>
      <c r="C53" s="21" t="n">
        <v>0.1504019294942598</v>
      </c>
    </row>
    <row r="55">
      <c r="A55" s="5" t="inlineStr">
        <is>
          <t>BELOW THE LINE — FINANCING</t>
        </is>
      </c>
    </row>
    <row r="56">
      <c r="A56" s="6" t="inlineStr">
        <is>
          <t>Interest Expense — Project Finance Term Loans A &amp; B (~$760M @ avg 4.97%)</t>
        </is>
      </c>
      <c r="B56" s="7" t="n">
        <v>37800000</v>
      </c>
      <c r="C56" s="8" t="n">
        <v>0.1178400491359336</v>
      </c>
    </row>
    <row r="57">
      <c r="A57" s="6" t="inlineStr">
        <is>
          <t>Amortization of Deferred Financing Costs</t>
        </is>
      </c>
      <c r="B57" s="7" t="n">
        <v>1850000</v>
      </c>
      <c r="C57" s="8" t="n">
        <v>0.005767303992102572</v>
      </c>
    </row>
    <row r="58">
      <c r="A58" s="6" t="inlineStr">
        <is>
          <t>Interest Income — DSRA &amp; Operating Cash (avg 4.15%)</t>
        </is>
      </c>
      <c r="B58" s="7" t="n">
        <v>-2100000</v>
      </c>
      <c r="C58" s="8" t="n">
        <v>-0.006546669396440758</v>
      </c>
    </row>
    <row r="60">
      <c r="A60" s="22" t="inlineStr">
        <is>
          <t>EARNINGS BEFORE TAX</t>
        </is>
      </c>
      <c r="B60" s="23" t="n">
        <v>10694999</v>
      </c>
      <c r="C60" s="24" t="n">
        <v>0.03334124888012596</v>
      </c>
    </row>
    <row r="61">
      <c r="A61" s="6" t="inlineStr">
        <is>
          <t>Texas Franchise Tax (~0.75% of margin — LLC pass-through)</t>
        </is>
      </c>
      <c r="B61" s="7" t="n">
        <v>80212</v>
      </c>
      <c r="C61" s="8" t="n">
        <v>0.0002500578312510981</v>
      </c>
    </row>
    <row r="63">
      <c r="A63" s="25" t="inlineStr">
        <is>
          <t>NET INCOME (LLC Pass-Through to Members)</t>
        </is>
      </c>
      <c r="B63" s="26" t="n">
        <v>10614787</v>
      </c>
      <c r="C63" s="27" t="n">
        <v>0.03309119104887485</v>
      </c>
    </row>
    <row r="65">
      <c r="A65" s="28" t="inlineStr">
        <is>
          <t>KEY OPERATING &amp; FINANCIAL METRICS</t>
        </is>
      </c>
    </row>
    <row r="66">
      <c r="A66" s="6" t="inlineStr">
        <is>
          <t>Net Generation (MWh)</t>
        </is>
      </c>
      <c r="B66" s="29" t="inlineStr">
        <is>
          <t>6,717,168 MWh  =  6.717 TWh</t>
        </is>
      </c>
    </row>
    <row r="67">
      <c r="A67" s="6" t="inlineStr">
        <is>
          <t>Capacity Factor</t>
        </is>
      </c>
      <c r="B67" s="29" t="inlineStr">
        <is>
          <t>85.2%</t>
        </is>
      </c>
    </row>
    <row r="68">
      <c r="A68" s="6" t="inlineStr">
        <is>
          <t>Average Realized Price (blended)</t>
        </is>
      </c>
      <c r="B68" s="29" t="inlineStr">
        <is>
          <t>$47.75 / MWh</t>
        </is>
      </c>
    </row>
    <row r="69">
      <c r="A69" s="6" t="inlineStr">
        <is>
          <t>Average Fuel Cost (all-in)</t>
        </is>
      </c>
      <c r="B69" s="29" t="inlineStr">
        <is>
          <t>$23.98 / MWh</t>
        </is>
      </c>
    </row>
    <row r="70">
      <c r="A70" s="6" t="inlineStr">
        <is>
          <t>Spark Spread (Avg Realized − Fuel)</t>
        </is>
      </c>
      <c r="B70" s="29" t="inlineStr">
        <is>
          <t>$23.78 / MWh</t>
        </is>
      </c>
    </row>
    <row r="71">
      <c r="A71" s="6" t="inlineStr">
        <is>
          <t>EBITDA</t>
        </is>
      </c>
      <c r="B71" s="29" t="inlineStr">
        <is>
          <t>$86,444,999  (26.9% margin)</t>
        </is>
      </c>
    </row>
    <row r="72">
      <c r="A72" s="6" t="inlineStr">
        <is>
          <t>EBITDA per MWh</t>
        </is>
      </c>
      <c r="B72" s="29" t="inlineStr">
        <is>
          <t>$12.87 / MWh</t>
        </is>
      </c>
    </row>
    <row r="73">
      <c r="A73" s="6" t="inlineStr">
        <is>
          <t>Debt Service Coverage Ratio (DSCR)</t>
        </is>
      </c>
      <c r="B73" s="29" t="inlineStr">
        <is>
          <t>1.43×  (EBITDA / Annual Debt Service)</t>
        </is>
      </c>
    </row>
    <row r="74">
      <c r="A74" s="6" t="inlineStr">
        <is>
          <t>Heat Rate — Full Plant (Net)</t>
        </is>
      </c>
      <c r="B74" s="29" t="inlineStr">
        <is>
          <t>6,850 BTU/kWh  (LHV)</t>
        </is>
      </c>
    </row>
    <row r="75">
      <c r="A75" s="6" t="inlineStr">
        <is>
          <t>Equivalent Availability Factor (EAF)</t>
        </is>
      </c>
      <c r="B75" s="29" t="inlineStr">
        <is>
          <t>~91.5%  (GT2 HGP + GT1 CI outages)</t>
        </is>
      </c>
    </row>
    <row r="76">
      <c r="A76" s="6" t="inlineStr">
        <is>
          <t>LTSA Coverage</t>
        </is>
      </c>
      <c r="B76" s="29" t="inlineStr">
        <is>
          <t>GE Power Services (GT1/GT2) + Siemens Energy (STG)</t>
        </is>
      </c>
    </row>
    <row r="77">
      <c r="A77" s="6" t="inlineStr">
        <is>
          <t>PPA Portion of Revenue</t>
        </is>
      </c>
      <c r="B77" s="29" t="inlineStr">
        <is>
          <t>22.7%  (NextDecade 200 MW)</t>
        </is>
      </c>
    </row>
  </sheetData>
  <mergeCells count="15">
    <mergeCell ref="A41:C41"/>
    <mergeCell ref="A44:C44"/>
    <mergeCell ref="A1:C1"/>
    <mergeCell ref="A5:C5"/>
    <mergeCell ref="A23:C23"/>
    <mergeCell ref="A32:C32"/>
    <mergeCell ref="A14:C14"/>
    <mergeCell ref="A22:C22"/>
    <mergeCell ref="A27:C27"/>
    <mergeCell ref="A65:C65"/>
    <mergeCell ref="A3:C3"/>
    <mergeCell ref="A55:C55"/>
    <mergeCell ref="A35:C35"/>
    <mergeCell ref="A48:C4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2" customHeight="1">
      <c r="A1" s="30" t="inlineStr">
        <is>
          <t>LONE STAR POWER GENERATION LLC</t>
        </is>
      </c>
    </row>
    <row r="2" ht="18" customHeight="1">
      <c r="A2" s="31" t="inlineStr">
        <is>
          <t>BALANCE SHEET  |  As of December 31, 2025</t>
        </is>
      </c>
    </row>
    <row r="3">
      <c r="A3" s="4" t="inlineStr">
        <is>
          <t>Description</t>
        </is>
      </c>
      <c r="B3" s="4" t="inlineStr">
        <is>
          <t>Balance ($)</t>
        </is>
      </c>
    </row>
    <row r="4">
      <c r="A4" s="32" t="inlineStr">
        <is>
          <t>ASSETS</t>
        </is>
      </c>
    </row>
    <row r="5">
      <c r="A5" s="5" t="inlineStr">
        <is>
          <t>Current Assets</t>
        </is>
      </c>
    </row>
    <row r="6">
      <c r="A6" s="6" t="inlineStr">
        <is>
          <t>Cash — Operating + Fuel Payables + Revenue Lock Box</t>
        </is>
      </c>
      <c r="B6" s="7" t="n">
        <v>33450000</v>
      </c>
    </row>
    <row r="7">
      <c r="A7" s="6" t="inlineStr">
        <is>
          <t>Debt Service Reserve Account (DSRA) — 6-Month Required by Lenders</t>
        </is>
      </c>
      <c r="B7" s="7" t="n">
        <v>42500000</v>
      </c>
    </row>
    <row r="8">
      <c r="A8" s="6" t="inlineStr">
        <is>
          <t>O&amp;M Reserve Account</t>
        </is>
      </c>
      <c r="B8" s="7" t="n">
        <v>12000000</v>
      </c>
    </row>
    <row r="9">
      <c r="A9" s="6" t="inlineStr">
        <is>
          <t>Accounts Receivable — ERCOT &amp; PPA December Settlements</t>
        </is>
      </c>
      <c r="B9" s="7" t="n">
        <v>33578797</v>
      </c>
    </row>
    <row r="10">
      <c r="A10" s="6" t="inlineStr">
        <is>
          <t>Fuel Inventory — Natural Gas in Pipeline &amp; Station</t>
        </is>
      </c>
      <c r="B10" s="7" t="n">
        <v>4200000</v>
      </c>
    </row>
    <row r="11">
      <c r="A11" s="6" t="inlineStr">
        <is>
          <t>Emissions Allowances — NOx &amp; CO2 (Current Period)</t>
        </is>
      </c>
      <c r="B11" s="7" t="n">
        <v>3850000</v>
      </c>
    </row>
    <row r="12">
      <c r="A12" s="6" t="inlineStr">
        <is>
          <t>Spare Parts Inventory — Critical On-Site Spare Parts (per LTSA)</t>
        </is>
      </c>
      <c r="B12" s="7" t="n">
        <v>8400000</v>
      </c>
    </row>
    <row r="13">
      <c r="A13" s="6" t="inlineStr">
        <is>
          <t>Prepaid Expenses — Insurance Premiums, Bond Deposits, Other</t>
        </is>
      </c>
      <c r="B13" s="7" t="n">
        <v>6800000</v>
      </c>
    </row>
    <row r="14">
      <c r="A14" s="6" t="inlineStr">
        <is>
          <t>ERCOT Margin Deposits &amp; Financial Assurance</t>
        </is>
      </c>
      <c r="B14" s="7" t="n">
        <v>12000000</v>
      </c>
    </row>
    <row r="15">
      <c r="A15" s="5" t="inlineStr">
        <is>
          <t>TOTAL CURRENT ASSETS</t>
        </is>
      </c>
      <c r="B15" s="9" t="n">
        <v>156778797</v>
      </c>
    </row>
    <row r="17">
      <c r="A17" s="5" t="inlineStr">
        <is>
          <t>Property, Plant &amp; Equipment</t>
        </is>
      </c>
    </row>
    <row r="18">
      <c r="A18" s="6" t="inlineStr">
        <is>
          <t>Gas Turbines — 2× GE 7HA.02 (185 MW class each)</t>
        </is>
      </c>
      <c r="B18" s="7" t="n">
        <v>370000000</v>
      </c>
    </row>
    <row r="19">
      <c r="A19" s="6" t="inlineStr">
        <is>
          <t>Steam Turbine — 1× Siemens SST-900</t>
        </is>
      </c>
      <c r="B19" s="7" t="n">
        <v>95000000</v>
      </c>
    </row>
    <row r="20">
      <c r="A20" s="6" t="inlineStr">
        <is>
          <t>HRSGs — 2× Nooter/Eriksen 3-Pressure Reheat</t>
        </is>
      </c>
      <c r="B20" s="7" t="n">
        <v>84000000</v>
      </c>
    </row>
    <row r="21">
      <c r="A21" s="6" t="inlineStr">
        <is>
          <t>Step-Up Transformers &amp; 345 kV Switchyard (3×)</t>
        </is>
      </c>
      <c r="B21" s="7" t="n">
        <v>24200000</v>
      </c>
    </row>
    <row r="22">
      <c r="A22" s="6" t="inlineStr">
        <is>
          <t>GE Mark VIe DCS, SCADA &amp; Control Systems</t>
        </is>
      </c>
      <c r="B22" s="7" t="n">
        <v>12000000</v>
      </c>
    </row>
    <row r="23">
      <c r="A23" s="6" t="inlineStr">
        <is>
          <t>Cooling Towers, ACC &amp; Balance of Plant</t>
        </is>
      </c>
      <c r="B23" s="7" t="n">
        <v>65000000</v>
      </c>
    </row>
    <row r="24">
      <c r="A24" s="6" t="inlineStr">
        <is>
          <t>Natural Gas Lateral &amp; Interconnect</t>
        </is>
      </c>
      <c r="B24" s="7" t="n">
        <v>38000000</v>
      </c>
    </row>
    <row r="25">
      <c r="A25" s="6" t="inlineStr">
        <is>
          <t>345 kV Transmission Interconnect</t>
        </is>
      </c>
      <c r="B25" s="7" t="n">
        <v>28000000</v>
      </c>
    </row>
    <row r="26">
      <c r="A26" s="6" t="inlineStr">
        <is>
          <t>Civil, Structural, Buildings &amp; Site Work</t>
        </is>
      </c>
      <c r="B26" s="7" t="n">
        <v>47000000</v>
      </c>
    </row>
    <row r="27">
      <c r="A27" s="6" t="inlineStr">
        <is>
          <t>Accumulated Depreciation  (3.5 years × $38.2M avg)</t>
        </is>
      </c>
      <c r="B27" s="7" t="n">
        <v>-133700000</v>
      </c>
    </row>
    <row r="28">
      <c r="A28" s="5" t="inlineStr">
        <is>
          <t>NET PP&amp;E</t>
        </is>
      </c>
      <c r="B28" s="9" t="n">
        <v>629500000</v>
      </c>
    </row>
    <row r="30">
      <c r="A30" s="33" t="inlineStr">
        <is>
          <t>TOTAL ASSETS</t>
        </is>
      </c>
      <c r="B30" s="34" t="n">
        <v>786278797</v>
      </c>
    </row>
    <row r="32">
      <c r="A32" s="32" t="inlineStr">
        <is>
          <t>LIABILITIES</t>
        </is>
      </c>
    </row>
    <row r="33">
      <c r="A33" s="5" t="inlineStr">
        <is>
          <t>Current Liabilities</t>
        </is>
      </c>
    </row>
    <row r="34">
      <c r="A34" s="6" t="inlineStr">
        <is>
          <t>Accounts Payable — Natural Gas (Shell Energy December)</t>
        </is>
      </c>
      <c r="B34" s="7" t="n">
        <v>14203599</v>
      </c>
    </row>
    <row r="35">
      <c r="A35" s="6" t="inlineStr">
        <is>
          <t>Accounts Payable — O&amp;M Vendors &amp; GE LTSA</t>
        </is>
      </c>
      <c r="B35" s="7" t="n">
        <v>4800000</v>
      </c>
    </row>
    <row r="36">
      <c r="A36" s="6" t="inlineStr">
        <is>
          <t>Accrued Liabilities — Wages, Benefits &amp; Property Tax</t>
        </is>
      </c>
      <c r="B36" s="7" t="n">
        <v>6400000</v>
      </c>
    </row>
    <row r="37">
      <c r="A37" s="6" t="inlineStr">
        <is>
          <t>ERCOT Settlements Payable</t>
        </is>
      </c>
      <c r="B37" s="7" t="n">
        <v>2030000</v>
      </c>
    </row>
    <row r="38">
      <c r="A38" s="6" t="inlineStr">
        <is>
          <t>Current Portion — Project Finance Debt (Term Loans A &amp; B)</t>
        </is>
      </c>
      <c r="B38" s="7" t="n">
        <v>22500000</v>
      </c>
    </row>
    <row r="39">
      <c r="A39" s="6" t="inlineStr">
        <is>
          <t>Interest Payable — Accrued Semi-Annual/Quarterly Interest</t>
        </is>
      </c>
      <c r="B39" s="7" t="n">
        <v>9400000</v>
      </c>
    </row>
    <row r="40">
      <c r="A40" s="5" t="inlineStr">
        <is>
          <t>TOTAL CURRENT LIABILITIES</t>
        </is>
      </c>
      <c r="B40" s="9" t="n">
        <v>59333599</v>
      </c>
    </row>
    <row r="42">
      <c r="A42" s="5" t="inlineStr">
        <is>
          <t>Long-Term Liabilities</t>
        </is>
      </c>
    </row>
    <row r="43">
      <c r="A43" s="6" t="inlineStr">
        <is>
          <t>Project Finance — Term Loan A (Prudential Capital, 18-yr amort.)</t>
        </is>
      </c>
      <c r="B43" s="7" t="n">
        <v>424250000</v>
      </c>
    </row>
    <row r="44">
      <c r="A44" s="6" t="inlineStr">
        <is>
          <t>Project Finance — Term Loan B (Apollo Global, 15-yr amort.)</t>
        </is>
      </c>
      <c r="B44" s="7" t="n">
        <v>257000000</v>
      </c>
    </row>
    <row r="45">
      <c r="A45" s="5" t="inlineStr">
        <is>
          <t>TOTAL LONG-TERM LIABILITIES</t>
        </is>
      </c>
      <c r="B45" s="9" t="n">
        <v>681250000</v>
      </c>
    </row>
    <row r="47">
      <c r="A47" s="22" t="inlineStr">
        <is>
          <t>TOTAL LIABILITIES</t>
        </is>
      </c>
      <c r="B47" s="23" t="n">
        <v>740583599</v>
      </c>
    </row>
    <row r="49">
      <c r="A49" s="32" t="inlineStr">
        <is>
          <t>MEMBERS' EQUITY</t>
        </is>
      </c>
    </row>
    <row r="50">
      <c r="A50" s="5" t="inlineStr">
        <is>
          <t>Members' Equity</t>
        </is>
      </c>
    </row>
    <row r="51">
      <c r="A51" s="6" t="inlineStr">
        <is>
          <t>Contributed Capital — LP &amp; GP Equity at Financial Close (2022)</t>
        </is>
      </c>
      <c r="B51" s="7" t="n">
        <v>195000000</v>
      </c>
    </row>
    <row r="52">
      <c r="A52" s="6" t="inlineStr">
        <is>
          <t>Accumulated Deficit — Prior Years (Typical Early-Life Leveraged Project)</t>
        </is>
      </c>
      <c r="B52" s="7" t="n">
        <v>-159919589</v>
      </c>
    </row>
    <row r="53">
      <c r="A53" s="6" t="inlineStr">
        <is>
          <t>Net Income — FY 2025</t>
        </is>
      </c>
      <c r="B53" s="7" t="n">
        <v>10614787</v>
      </c>
    </row>
    <row r="54">
      <c r="A54" s="5" t="inlineStr">
        <is>
          <t>TOTAL MEMBERS' EQUITY</t>
        </is>
      </c>
      <c r="B54" s="9" t="n">
        <v>45695198</v>
      </c>
    </row>
    <row r="56">
      <c r="A56" s="35" t="inlineStr">
        <is>
          <t>TOTAL LIABILITIES &amp; MEMBERS' EQUITY</t>
        </is>
      </c>
      <c r="B56" s="36" t="n">
        <v>786278797</v>
      </c>
    </row>
    <row r="58">
      <c r="A58" s="37" t="inlineStr">
        <is>
          <t>BALANCE VERIFICATION</t>
        </is>
      </c>
    </row>
    <row r="59">
      <c r="A59" s="38" t="inlineStr">
        <is>
          <t>Total Assets − Total Liabilities &amp; Members' Equity  =  $0</t>
        </is>
      </c>
      <c r="B59" s="39" t="n">
        <v>0</v>
      </c>
    </row>
    <row r="61">
      <c r="A61" s="40" t="inlineStr">
        <is>
          <t>Note: Accumulated deficit is normal for early-life project finance — high depreciation and interest front-load losses. DSCR of 1.43× confirms strong debt service capacity.</t>
        </is>
      </c>
    </row>
  </sheetData>
  <mergeCells count="11">
    <mergeCell ref="A4:B4"/>
    <mergeCell ref="A2:B2"/>
    <mergeCell ref="A33:B33"/>
    <mergeCell ref="A49:B49"/>
    <mergeCell ref="A5:B5"/>
    <mergeCell ref="A42:B42"/>
    <mergeCell ref="A32:B32"/>
    <mergeCell ref="A1:B1"/>
    <mergeCell ref="A17:B17"/>
    <mergeCell ref="A58:B58"/>
    <mergeCell ref="A50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</cols>
  <sheetData>
    <row r="1" ht="22" customHeight="1">
      <c r="A1" s="41" t="inlineStr">
        <is>
          <t>LONE STAR POWER GENERATION LLC</t>
        </is>
      </c>
    </row>
    <row r="2" ht="18" customHeight="1">
      <c r="A2" s="42" t="inlineStr">
        <is>
          <t>CASH FLOW STATEMENT  |  Fiscal Year Ended December 31, 2025</t>
        </is>
      </c>
    </row>
    <row r="3">
      <c r="A3" s="4" t="inlineStr">
        <is>
          <t>Description</t>
        </is>
      </c>
      <c r="B3" s="4" t="inlineStr">
        <is>
          <t>Amount ($)</t>
        </is>
      </c>
    </row>
    <row r="4">
      <c r="A4" s="32" t="inlineStr">
        <is>
          <t>OPERATING ACTIVITIES</t>
        </is>
      </c>
    </row>
    <row r="5">
      <c r="A5" s="6" t="inlineStr">
        <is>
          <t>Net Income (FY 2025)</t>
        </is>
      </c>
      <c r="B5" s="7" t="n">
        <v>10614787</v>
      </c>
    </row>
    <row r="7">
      <c r="A7" s="14" t="inlineStr">
        <is>
          <t xml:space="preserve">  Non-Cash Adjustments</t>
        </is>
      </c>
    </row>
    <row r="8">
      <c r="A8" s="15" t="inlineStr">
        <is>
          <t>Add: Depreciation — Plant Assets</t>
        </is>
      </c>
      <c r="B8" s="7" t="n">
        <v>38200000</v>
      </c>
    </row>
    <row r="9">
      <c r="A9" s="15" t="inlineStr">
        <is>
          <t>Add: Amortization of Deferred Financing Costs</t>
        </is>
      </c>
      <c r="B9" s="7" t="n">
        <v>1850000</v>
      </c>
    </row>
    <row r="11">
      <c r="A11" s="14" t="inlineStr">
        <is>
          <t xml:space="preserve">  Changes in Working Capital</t>
        </is>
      </c>
    </row>
    <row r="12">
      <c r="A12" s="15" t="inlineStr">
        <is>
          <t>Δ Accounts Receivable — ERCOT &amp; PPA Settlements</t>
        </is>
      </c>
      <c r="B12" s="7" t="n">
        <v>-33578797</v>
      </c>
    </row>
    <row r="13">
      <c r="A13" s="15" t="inlineStr">
        <is>
          <t>Δ Fuel Inventory &amp; Emissions Allowances</t>
        </is>
      </c>
      <c r="B13" s="7" t="n">
        <v>-8050000</v>
      </c>
    </row>
    <row r="14">
      <c r="A14" s="15" t="inlineStr">
        <is>
          <t>Δ Spare Parts Inventory</t>
        </is>
      </c>
      <c r="B14" s="7" t="n">
        <v>-8400000</v>
      </c>
    </row>
    <row r="15">
      <c r="A15" s="15" t="inlineStr">
        <is>
          <t>Δ Prepaid Expenses</t>
        </is>
      </c>
      <c r="B15" s="7" t="n">
        <v>-6800000</v>
      </c>
    </row>
    <row r="16">
      <c r="A16" s="15" t="inlineStr">
        <is>
          <t>Δ ERCOT Margin Deposits</t>
        </is>
      </c>
      <c r="B16" s="7" t="n">
        <v>-12000000</v>
      </c>
    </row>
    <row r="17">
      <c r="A17" s="15" t="inlineStr">
        <is>
          <t>Δ Accounts Payable — Gas &amp; O&amp;M Vendors</t>
        </is>
      </c>
      <c r="B17" s="7" t="n">
        <v>19003599</v>
      </c>
    </row>
    <row r="18">
      <c r="A18" s="15" t="inlineStr">
        <is>
          <t>Δ Accrued Liabilities (Wages, Property Tax)</t>
        </is>
      </c>
      <c r="B18" s="7" t="n">
        <v>6400000</v>
      </c>
    </row>
    <row r="19">
      <c r="A19" s="15" t="inlineStr">
        <is>
          <t>Δ Interest Payable</t>
        </is>
      </c>
      <c r="B19" s="7" t="n">
        <v>9400000</v>
      </c>
    </row>
    <row r="21">
      <c r="A21" s="43" t="inlineStr">
        <is>
          <t>NET CASH FROM OPERATING ACTIVITIES</t>
        </is>
      </c>
      <c r="B21" s="12" t="n">
        <v>16639589</v>
      </c>
    </row>
    <row r="24">
      <c r="A24" s="32" t="inlineStr">
        <is>
          <t>INVESTING ACTIVITIES</t>
        </is>
      </c>
    </row>
    <row r="25">
      <c r="A25" s="6" t="inlineStr">
        <is>
          <t>Capital Expenditures — Inlet Air Chiller GT1 Expansion</t>
        </is>
      </c>
      <c r="B25" s="7" t="n">
        <v>-2640000</v>
      </c>
    </row>
    <row r="26">
      <c r="A26" s="6" t="inlineStr">
        <is>
          <t>Capital Expenditures — CEMS Upgrade HRSG-1</t>
        </is>
      </c>
      <c r="B26" s="7" t="n">
        <v>-820000</v>
      </c>
    </row>
    <row r="27">
      <c r="A27" s="6" t="inlineStr">
        <is>
          <t>Equipment Additions to Spare Parts Inventory (Capex)</t>
        </is>
      </c>
      <c r="B27" s="7" t="n">
        <v>0</v>
      </c>
    </row>
    <row r="29">
      <c r="A29" s="44" t="inlineStr">
        <is>
          <t>NET CASH FROM INVESTING ACTIVITIES</t>
        </is>
      </c>
      <c r="B29" s="23" t="n">
        <v>-3460000</v>
      </c>
    </row>
    <row r="32">
      <c r="A32" s="32" t="inlineStr">
        <is>
          <t>FINANCING ACTIVITIES</t>
        </is>
      </c>
    </row>
    <row r="33">
      <c r="A33" s="6" t="inlineStr">
        <is>
          <t>Project Finance Debt — Annual Principal Repayments (Term Loan A + B)</t>
        </is>
      </c>
      <c r="B33" s="7" t="n">
        <v>-22500000</v>
      </c>
    </row>
    <row r="34">
      <c r="A34" s="6" t="inlineStr">
        <is>
          <t>Interest Paid — Term Loans A &amp; B (Cash Portion)</t>
        </is>
      </c>
      <c r="B34" s="7" t="n">
        <v>-37800000</v>
      </c>
    </row>
    <row r="35">
      <c r="A35" s="6" t="inlineStr">
        <is>
          <t>Member Distributions — FY 2025</t>
        </is>
      </c>
      <c r="B35" s="7" t="n">
        <v>-5000000</v>
      </c>
    </row>
    <row r="37">
      <c r="A37" s="44" t="inlineStr">
        <is>
          <t>NET CASH FROM FINANCING ACTIVITIES</t>
        </is>
      </c>
      <c r="B37" s="23" t="n">
        <v>-65300000</v>
      </c>
    </row>
    <row r="40">
      <c r="A40" s="45" t="inlineStr">
        <is>
          <t>NET CHANGE IN CASH</t>
        </is>
      </c>
      <c r="B40" s="20" t="n">
        <v>-52120411</v>
      </c>
    </row>
    <row r="41">
      <c r="A41" s="6" t="inlineStr">
        <is>
          <t>Cash — Beginning of Year (January 1, 2025)</t>
        </is>
      </c>
      <c r="B41" s="7" t="n">
        <v>85570411</v>
      </c>
    </row>
    <row r="43">
      <c r="A43" s="25" t="inlineStr">
        <is>
          <t>CASH — END OF YEAR (December 31, 2025)</t>
        </is>
      </c>
      <c r="B43" s="26" t="n">
        <v>33450000</v>
      </c>
    </row>
    <row r="45">
      <c r="A45" s="46" t="inlineStr">
        <is>
          <t>RECONCILIATION TO BALANCE SHEET</t>
        </is>
      </c>
    </row>
    <row r="46">
      <c r="A46" s="6" t="inlineStr">
        <is>
          <t>Ending Cash per Cash Flow Statement</t>
        </is>
      </c>
      <c r="B46" s="7" t="n">
        <v>33450000</v>
      </c>
    </row>
    <row r="47">
      <c r="A47" s="6" t="inlineStr">
        <is>
          <t>Cash per Balance Sheet (Operating + Fuel + Lock Box)</t>
        </is>
      </c>
      <c r="B47" s="7" t="n">
        <v>33450000</v>
      </c>
    </row>
    <row r="48">
      <c r="A48" s="47" t="inlineStr">
        <is>
          <t>Difference (Must = $0)</t>
        </is>
      </c>
      <c r="B48" s="39" t="n">
        <v>0</v>
      </c>
    </row>
    <row r="50">
      <c r="A50" s="5" t="inlineStr">
        <is>
          <t>DSRA &amp; O&amp;M RESERVE (Restricted — Excluded from CFO)</t>
        </is>
      </c>
    </row>
    <row r="51">
      <c r="A51" s="6" t="inlineStr">
        <is>
          <t>Debt Service Reserve Account (Restricted — Not in Operating Cash)</t>
        </is>
      </c>
      <c r="B51" s="7" t="n">
        <v>42500000</v>
      </c>
    </row>
    <row r="52">
      <c r="A52" s="6" t="inlineStr">
        <is>
          <t>O&amp;M Reserve Account</t>
        </is>
      </c>
      <c r="B52" s="7" t="n">
        <v>12000000</v>
      </c>
    </row>
  </sheetData>
  <mergeCells count="9">
    <mergeCell ref="A4:B4"/>
    <mergeCell ref="A24:B24"/>
    <mergeCell ref="A2:B2"/>
    <mergeCell ref="A7:B7"/>
    <mergeCell ref="A11:B11"/>
    <mergeCell ref="A45:B45"/>
    <mergeCell ref="A32:B32"/>
    <mergeCell ref="A1:B1"/>
    <mergeCell ref="A50:B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2" customHeight="1">
      <c r="A1" s="48" t="inlineStr">
        <is>
          <t>LONE STAR POWER GENERATION — 2025 Monthly Generation &amp; Revenue Summary</t>
        </is>
      </c>
    </row>
    <row r="2">
      <c r="A2" s="4" t="inlineStr">
        <is>
          <t>Metric</t>
        </is>
      </c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4" t="inlineStr">
        <is>
          <t>TOTAL</t>
        </is>
      </c>
    </row>
    <row r="3">
      <c r="A3" s="49" t="inlineStr">
        <is>
          <t>Net Generation (MWh)</t>
        </is>
      </c>
      <c r="B3" s="50" t="n">
        <v>620000</v>
      </c>
      <c r="C3" s="50" t="n">
        <v>540000</v>
      </c>
      <c r="D3" s="50" t="n">
        <v>385000</v>
      </c>
      <c r="E3" s="50" t="n">
        <v>590000</v>
      </c>
      <c r="F3" s="50" t="n">
        <v>615000</v>
      </c>
      <c r="G3" s="50" t="n">
        <v>638000</v>
      </c>
      <c r="H3" s="50" t="n">
        <v>662000</v>
      </c>
      <c r="I3" s="50" t="n">
        <v>658000</v>
      </c>
      <c r="J3" s="50" t="n">
        <v>310000</v>
      </c>
      <c r="K3" s="50" t="n">
        <v>595000</v>
      </c>
      <c r="L3" s="50" t="n">
        <v>580000</v>
      </c>
      <c r="M3" s="50" t="n">
        <v>524168</v>
      </c>
      <c r="N3" s="51" t="n">
        <v>6717168</v>
      </c>
    </row>
    <row r="4">
      <c r="A4" s="49" t="inlineStr">
        <is>
          <t>Total Revenue ($)</t>
        </is>
      </c>
      <c r="B4" s="50" t="n">
        <v>33605000</v>
      </c>
      <c r="C4" s="50" t="n">
        <v>28683000</v>
      </c>
      <c r="D4" s="50" t="n">
        <v>24553000</v>
      </c>
      <c r="E4" s="50" t="n">
        <v>31083000</v>
      </c>
      <c r="F4" s="50" t="n">
        <v>33953000</v>
      </c>
      <c r="G4" s="50" t="n">
        <v>38503000</v>
      </c>
      <c r="H4" s="50" t="n">
        <v>45303000</v>
      </c>
      <c r="I4" s="50" t="n">
        <v>43003000</v>
      </c>
      <c r="J4" s="50" t="n">
        <v>21803000</v>
      </c>
      <c r="K4" s="50" t="n">
        <v>28803000</v>
      </c>
      <c r="L4" s="50" t="n">
        <v>33303000</v>
      </c>
      <c r="M4" s="50" t="n">
        <v>34175797</v>
      </c>
      <c r="N4" s="51" t="n">
        <v>396770797</v>
      </c>
    </row>
    <row r="5">
      <c r="A5" s="49" t="inlineStr">
        <is>
          <t>Total Fuel Cost ($)</t>
        </is>
      </c>
      <c r="B5" s="50" t="n">
        <v>14674000</v>
      </c>
      <c r="C5" s="50" t="n">
        <v>12335600</v>
      </c>
      <c r="D5" s="50" t="n">
        <v>9784000</v>
      </c>
      <c r="E5" s="50" t="n">
        <v>14981200</v>
      </c>
      <c r="F5" s="50" t="n">
        <v>15492960</v>
      </c>
      <c r="G5" s="50" t="n">
        <v>17221840</v>
      </c>
      <c r="H5" s="50" t="n">
        <v>19876160</v>
      </c>
      <c r="I5" s="50" t="n">
        <v>18734320</v>
      </c>
      <c r="J5" s="50" t="n">
        <v>9202560</v>
      </c>
      <c r="K5" s="50" t="n">
        <v>12897480</v>
      </c>
      <c r="L5" s="50" t="n">
        <v>14413840</v>
      </c>
      <c r="M5" s="50" t="n">
        <v>15497167</v>
      </c>
      <c r="N5" s="51" t="n">
        <v>175111127</v>
      </c>
    </row>
    <row r="6">
      <c r="A6" s="52" t="inlineStr">
        <is>
          <t>Gross Margin / Spark Spread ($)</t>
        </is>
      </c>
      <c r="B6" s="50">
        <f>B4-B5</f>
        <v/>
      </c>
      <c r="C6" s="50">
        <f>C4-C5</f>
        <v/>
      </c>
      <c r="D6" s="50">
        <f>D4-D5</f>
        <v/>
      </c>
      <c r="E6" s="50">
        <f>E4-E5</f>
        <v/>
      </c>
      <c r="F6" s="50">
        <f>F4-F5</f>
        <v/>
      </c>
      <c r="G6" s="50">
        <f>G4-G5</f>
        <v/>
      </c>
      <c r="H6" s="50">
        <f>H4-H5</f>
        <v/>
      </c>
      <c r="I6" s="50">
        <f>I4-I5</f>
        <v/>
      </c>
      <c r="J6" s="50">
        <f>J4-J5</f>
        <v/>
      </c>
      <c r="K6" s="50">
        <f>K4-K5</f>
        <v/>
      </c>
      <c r="L6" s="50">
        <f>L4-L5</f>
        <v/>
      </c>
      <c r="M6" s="50">
        <f>M4-M5</f>
        <v/>
      </c>
      <c r="N6" s="51" t="n">
        <v>221659670</v>
      </c>
    </row>
    <row r="8">
      <c r="A8" s="46" t="inlineStr">
        <is>
          <t>PLANNED OUTAGE SUMMARY — FY 2025</t>
        </is>
      </c>
    </row>
    <row r="9">
      <c r="A9" s="53" t="inlineStr">
        <is>
          <t>Outage Event</t>
        </is>
      </c>
      <c r="B9" s="53" t="inlineStr">
        <is>
          <t>Period</t>
        </is>
      </c>
      <c r="C9" s="53" t="inlineStr">
        <is>
          <t>Duration</t>
        </is>
      </c>
      <c r="D9" s="53" t="inlineStr">
        <is>
          <t>Cost</t>
        </is>
      </c>
      <c r="E9" s="53" t="inlineStr">
        <is>
          <t>Revenue / Capacity Impact</t>
        </is>
      </c>
    </row>
    <row r="10">
      <c r="A10" s="54" t="inlineStr">
        <is>
          <t>GT1 Combustion Inspection (24,000 hr CI)</t>
        </is>
      </c>
      <c r="B10" s="54" t="inlineStr">
        <is>
          <t>March 2025</t>
        </is>
      </c>
      <c r="C10" s="54" t="inlineStr">
        <is>
          <t>21 days</t>
        </is>
      </c>
      <c r="D10" s="54" t="inlineStr">
        <is>
          <t>$3,980,000</t>
        </is>
      </c>
      <c r="E10" s="54" t="inlineStr">
        <is>
          <t>~$14.5M revenue impact (partial month)</t>
        </is>
      </c>
    </row>
    <row r="11">
      <c r="A11" s="54" t="inlineStr">
        <is>
          <t>GT2 Hot Gas Path Inspection (48,000 hr HGP)</t>
        </is>
      </c>
      <c r="B11" s="54" t="inlineStr">
        <is>
          <t>Sep–Oct 2025</t>
        </is>
      </c>
      <c r="C11" s="54" t="inlineStr">
        <is>
          <t>28 days</t>
        </is>
      </c>
      <c r="D11" s="54" t="inlineStr">
        <is>
          <t>$18,130,000 (incl. COs)</t>
        </is>
      </c>
      <c r="E11" s="54" t="inlineStr">
        <is>
          <t>~$22.0M revenue impact</t>
        </is>
      </c>
    </row>
    <row r="12">
      <c r="A12" s="54" t="inlineStr">
        <is>
          <t>Inlet Air Chiller GT1 Expansion (Capex)</t>
        </is>
      </c>
      <c r="B12" s="54" t="inlineStr">
        <is>
          <t>Jan–Feb 2025</t>
        </is>
      </c>
      <c r="C12" s="54" t="inlineStr">
        <is>
          <t>0 days lost</t>
        </is>
      </c>
      <c r="D12" s="54" t="inlineStr">
        <is>
          <t>$2,640,000</t>
        </is>
      </c>
      <c r="E12" s="54" t="inlineStr">
        <is>
          <t>+8 MW summer capacity</t>
        </is>
      </c>
    </row>
    <row r="13">
      <c r="A13" s="54" t="inlineStr">
        <is>
          <t>HRSG-1 CEMS Upgrade</t>
        </is>
      </c>
      <c r="B13" s="54" t="inlineStr">
        <is>
          <t>April 2025</t>
        </is>
      </c>
      <c r="C13" s="54" t="inlineStr">
        <is>
          <t>0 days lost</t>
        </is>
      </c>
      <c r="D13" s="54" t="inlineStr">
        <is>
          <t>$820,000</t>
        </is>
      </c>
      <c r="E13" s="54" t="inlineStr">
        <is>
          <t>TCEQ compliance</t>
        </is>
      </c>
    </row>
  </sheetData>
  <mergeCells count="2">
    <mergeCell ref="A8:N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2026-02-18T01:54:31Z</dcterms:created>
  <dcterms:modified xmlns:dcterms="http://purl.org/dc/terms/" xmlns:xsi="http://www.w3.org/2001/XMLSchema-instance" xsi:type="dcterms:W3CDTF">2026-02-18T01:54:31Z</dcterms:modified>
</cp:coreProperties>
</file>